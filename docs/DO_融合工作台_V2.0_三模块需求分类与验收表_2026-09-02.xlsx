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eeee706b3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验收总览" sheetId="1" r:id="R96899e37dea14ec5"/>
    <x:sheet xmlns:r="http://schemas.openxmlformats.org/officeDocument/2006/relationships" name="01_进度管理" sheetId="2" r:id="R5ae0bd8e2bbf4fa6"/>
    <x:sheet xmlns:r="http://schemas.openxmlformats.org/officeDocument/2006/relationships" name="02_专项任务" sheetId="3" r:id="Re9f9913f6ef44be5"/>
    <x:sheet xmlns:r="http://schemas.openxmlformats.org/officeDocument/2006/relationships" name="03_头脑风暴" sheetId="4" r:id="R138ad44b26d14dd1"/>
    <x:sheet xmlns:r="http://schemas.openxmlformats.org/officeDocument/2006/relationships" name="04_本次批注验收" sheetId="5" r:id="Rb4127f1a21ad43f6"/>
    <x:sheet xmlns:r="http://schemas.openxmlformats.org/officeDocument/2006/relationships" name="05_冲突与待办" sheetId="6" r:id="R0559b34077694e42"/>
    <x:sheet xmlns:r="http://schemas.openxmlformats.org/officeDocument/2006/relationships" name="06_240条逐项追溯" sheetId="7" r:id="Rc7fe5a8894bb481b"/>
    <x:sheet xmlns:r="http://schemas.openxmlformats.org/officeDocument/2006/relationships" name="07_状态对话追溯" sheetId="8" r:id="R4df7e2c17354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Microsoft YaHei"/>
    </x:font>
    <x:font>
      <x:sz val="10"/>
      <x:color rgb="FF5E6B7E"/>
      <x:name val="Microsoft YaHei"/>
    </x:font>
    <x:font>
      <x:b/>
      <x:sz val="10"/>
      <x:color rgb="FFFFFFFF"/>
      <x:name val="Microsoft YaHei"/>
    </x:font>
    <x:font>
      <x:sz val="10"/>
      <x:color rgb="FF172033"/>
      <x:name val="Microsoft YaHei"/>
    </x:font>
    <x:font>
      <x:b/>
      <x:sz val="10"/>
      <x:color rgb="FF0B2E59"/>
      <x:name val="Microsoft YaHei"/>
    </x:font>
    <x:font>
      <x:b/>
      <x:sz val="10"/>
      <x:color rgb="FF172033"/>
      <x:name val="Microsoft YaHei"/>
    </x:font>
    <x:font>
      <x:b/>
      <x:sz val="11"/>
      <x:color rgb="FF0B2E5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0B2E59"/>
      <x:name val="Carlito"/>
    </x:font>
    <x:font>
      <x:sz val="11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E2F1"/>
      </x:left>
      <x:right style="thin">
        <x:color rgb="FFD9E2F1"/>
      </x:right>
      <x:top style="thin">
        <x:color rgb="FFD9E2F1"/>
      </x:top>
      <x:bottom style="thin">
        <x:color rgb="FFD9E2F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50d130eea4732" /><Relationship Type="http://schemas.openxmlformats.org/officeDocument/2006/relationships/theme" Target="/xl/theme/theme1.xml" Id="R43a81740abf94203" /><Relationship Type="http://schemas.openxmlformats.org/officeDocument/2006/relationships/sharedStrings" Target="/xl/sharedStrings.xml" Id="R2d8d7a17eb304791" /><Relationship Type="http://schemas.openxmlformats.org/officeDocument/2006/relationships/worksheet" Target="/xl/worksheets/sheet1.xml" Id="R96899e37dea14ec5" /><Relationship Type="http://schemas.openxmlformats.org/officeDocument/2006/relationships/worksheet" Target="/xl/worksheets/sheet2.xml" Id="R5ae0bd8e2bbf4fa6" /><Relationship Type="http://schemas.openxmlformats.org/officeDocument/2006/relationships/worksheet" Target="/xl/worksheets/sheet3.xml" Id="Re9f9913f6ef44be5" /><Relationship Type="http://schemas.openxmlformats.org/officeDocument/2006/relationships/worksheet" Target="/xl/worksheets/sheet4.xml" Id="R138ad44b26d14dd1" /><Relationship Type="http://schemas.openxmlformats.org/officeDocument/2006/relationships/worksheet" Target="/xl/worksheets/sheet5.xml" Id="Rb4127f1a21ad43f6" /><Relationship Type="http://schemas.openxmlformats.org/officeDocument/2006/relationships/worksheet" Target="/xl/worksheets/sheet6.xml" Id="R0559b34077694e42" /><Relationship Type="http://schemas.openxmlformats.org/officeDocument/2006/relationships/worksheet" Target="/xl/worksheets/sheet7.xml" Id="Rc7fe5a8894bb481b" /><Relationship Type="http://schemas.openxmlformats.org/officeDocument/2006/relationships/worksheet" Target="/xl/worksheets/sheet8.xml" Id="R4df7e2c173544e0f" /><Relationship Type="http://schemas.microsoft.com/office/2017/10/relationships/person" Target="/xl/persons/person.xml" Id="R4d35af5c073045f8" /></Relationships>
</file>

<file path=xl/persons/person.xml><?xml version="1.0" encoding="utf-8"?>
<xltc:personList xmlns:xltc="http://schemas.microsoft.com/office/spreadsheetml/2018/threadedcomments">
  <xltc:person displayName="DO V2.0 验收编制" id="{3A79F12B-3044-48D7-8D0E-B044C6D54E07}"/>
</xltc:personList>
</file>

<file path=xl/tables/table1.xml><?xml version="1.0" encoding="utf-8"?>
<x:table xmlns:x="http://schemas.openxmlformats.org/spreadsheetml/2006/main" id="1" name="ProgressGroups" displayName="ProgressGroups" ref="A4:H13" headerRowCount="1" totalsRowCount="0" totalsRowShown="0">
  <x:tableColumns count="8">
    <x:tableColumn id="1" name="编号"/>
    <x:tableColumn id="2" name="一级分类"/>
    <x:tableColumn id="3" name="功能要求（外行版）"/>
    <x:tableColumn id="4" name="关键功能"/>
    <x:tableColumn id="5" name="怎么验收"/>
    <x:tableColumn id="6" name="验收结果"/>
    <x:tableColumn id="7" name="说明/边界"/>
    <x:tableColumn id="8" name="来源需求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alGroups" displayName="SpecialGroups" ref="A4:H12" headerRowCount="1" totalsRowCount="0" totalsRowShown="0">
  <x:tableColumns count="8">
    <x:tableColumn id="1" name="编号"/>
    <x:tableColumn id="2" name="一级分类"/>
    <x:tableColumn id="3" name="功能要求（外行版）"/>
    <x:tableColumn id="4" name="关键功能"/>
    <x:tableColumn id="5" name="怎么验收"/>
    <x:tableColumn id="6" name="验收结果"/>
    <x:tableColumn id="7" name="说明/边界"/>
    <x:tableColumn id="8" name="来源需求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vasGroups" displayName="CanvasGroups" ref="A4:H10" headerRowCount="1" totalsRowCount="0" totalsRowShown="0">
  <x:tableColumns count="8">
    <x:tableColumn id="1" name="编号"/>
    <x:tableColumn id="2" name="一级分类"/>
    <x:tableColumn id="3" name="功能要求（外行版）"/>
    <x:tableColumn id="4" name="关键功能"/>
    <x:tableColumn id="5" name="怎么验收"/>
    <x:tableColumn id="6" name="验收结果"/>
    <x:tableColumn id="7" name="说明/边界"/>
    <x:tableColumn id="8" name="来源需求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entChecks" displayName="CommentChecks" ref="A4:F18" headerRowCount="1" totalsRowCount="0" totalsRowShown="0">
  <x:tableColumns count="6">
    <x:tableColumn id="1" name="编号"/>
    <x:tableColumn id="2" name="用户批注"/>
    <x:tableColumn id="3" name="当前实现"/>
    <x:tableColumn id="4" name="验收证据"/>
    <x:tableColumn id="5" name="结果"/>
    <x:tableColumn id="6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sueRegister" displayName="IssueRegister" ref="A4:F13" headerRowCount="1" totalsRowCount="0" totalsRowShown="0">
  <x:tableColumns count="6">
    <x:tableColumn id="1" name="编号"/>
    <x:tableColumn id="2" name="主题"/>
    <x:tableColumn id="3" name="现状/冲突"/>
    <x:tableColumn id="4" name="状态"/>
    <x:tableColumn id="5" name="处理与验收方法"/>
    <x:tableColumn id="6" name="是否阻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llTrace" displayName="FullTrace" ref="A4:M244" headerRowCount="1" totalsRowCount="0" totalsRowShown="0">
  <x:tableColumns count="13">
    <x:tableColumn id="1" name="架构ID"/>
    <x:tableColumn id="2" name="模块"/>
    <x:tableColumn id="3" name="一级架构"/>
    <x:tableColumn id="4" name="二级模块"/>
    <x:tableColumn id="5" name="三级功能"/>
    <x:tableColumn id="6" name="实际需求"/>
    <x:tableColumn id="7" name="功能设计"/>
    <x:tableColumn id="8" name="当前结果"/>
    <x:tableColumn id="9" name="当前说明"/>
    <x:tableColumn id="10" name="原始序号"/>
    <x:tableColumn id="11" name="对话原文/历史记录"/>
    <x:tableColumn id="12" name="V2.0覆盖"/>
    <x:tableColumn id="13" name="统计代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usDialogueTrace" displayName="StatusDialogueTrace" ref="A4:E12" headerRowCount="1" totalsRowCount="0" totalsRowShown="0">
  <x:tableColumns count="5">
    <x:tableColumn id="1" name="时间"/>
    <x:tableColumn id="2" name="证据等级"/>
    <x:tableColumn id="3" name="用户对话/历史记录"/>
    <x:tableColumn id="4" name="对应开发要求"/>
    <x:tableColumn id="5" name="当前判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81c6c9ad70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7c435fe27b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7182d624bf49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9142272e7e4a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f4f523d29b4c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fd7908657e44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df8b5befbe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6" hidden="0" customWidth="1"/>
    <x:col min="4" max="4" width="18" hidden="0" customWidth="1"/>
    <x:col min="5" max="5" width="24" hidden="0" customWidth="1"/>
    <x:col min="6" max="6" width="52" hidden="0" customWidth="1"/>
    <x:col min="7" max="7" width="18" hidden="0" customWidth="1"/>
    <x:col min="8" max="8" width="18" hidden="0" customWidth="1"/>
  </x:cols>
  <x:sheetData>
    <x:row r="1" ht="34" customHeight="1">
      <x:c r="A1" s="19" t="str">
        <x:v>DO 融合工作台 V2.0｜三模块需求分类与验收总览</x:v>
      </x:c>
      <x:c r="B1" s="19"/>
      <x:c r="C1" s="19"/>
      <x:c r="D1" s="19"/>
      <x:c r="E1" s="19"/>
      <x:c r="F1" s="19"/>
      <x:c r="G1" s="19"/>
      <x:c r="H1" s="19"/>
    </x:row>
    <x:row r="2" ht="31" customHeight="1">
      <x:c r="A2" s="20" t="str">
        <x:v>正确基线：进度管理V1.11 + 专项任务V1.4.1 + 头脑风暴V1.13；错误版本明确排除。编制日期：2026-09-02。</x:v>
      </x:c>
      <x:c r="B2" s="20"/>
      <x:c r="C2" s="20"/>
      <x:c r="D2" s="20"/>
      <x:c r="E2" s="20"/>
      <x:c r="F2" s="20"/>
      <x:c r="G2" s="20"/>
      <x:c r="H2" s="20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0" customHeight="1">
      <x:c r="A4" s="43" t="str">
        <x:v>交付物</x:v>
      </x:c>
      <x:c r="B4" s="16" t="str">
        <x:v>DO 融合工作台 V2.0 本地融合版</x:v>
      </x:c>
      <x:c r="C4" s="14"/>
      <x:c r="D4" s="44" t="str">
        <x:v>结果图例</x:v>
      </x:c>
      <x:c r="E4" s="44"/>
      <x:c r="F4" s="44"/>
      <x:c r="G4" s="44"/>
      <x:c r="H4" s="44"/>
    </x:row>
    <x:row r="5" ht="30" customHeight="1">
      <x:c r="A5" s="43" t="str">
        <x:v>正确源文件</x:v>
      </x:c>
      <x:c r="B5" s="16" t="str">
        <x:v>DO_融合工作台_V2.0_本地融合版_2026-09-02.html</x:v>
      </x:c>
      <x:c r="C5" s="14"/>
      <x:c r="D5" s="45" t="str">
        <x:v>✅ 已核验</x:v>
      </x:c>
      <x:c r="E5" s="16" t="str">
        <x:v>当前交付可验证通过</x:v>
      </x:c>
      <x:c r="F5" s="16"/>
      <x:c r="G5" s="16"/>
      <x:c r="H5" s="16"/>
    </x:row>
    <x:row r="6" ht="30" customHeight="1">
      <x:c r="A6" s="43" t="str">
        <x:v>源文件SHA-256</x:v>
      </x:c>
      <x:c r="B6" s="16" t="str">
        <x:v>4a2623dc2b4b2776a3fb4810f5e1b1c0d4431487d28ef2f0222b30032d7f7b38</x:v>
      </x:c>
      <x:c r="C6" s="14"/>
      <x:c r="D6" s="45" t="str">
        <x:v>⚠ 已替代/取消</x:v>
      </x:c>
      <x:c r="E6" s="16" t="str">
        <x:v>历史保留，现行不再验收</x:v>
      </x:c>
      <x:c r="F6" s="16"/>
      <x:c r="G6" s="16"/>
      <x:c r="H6" s="16"/>
    </x:row>
    <x:row r="7" ht="30" customHeight="1">
      <x:c r="A7" s="43" t="str">
        <x:v>需求来源</x:v>
      </x:c>
      <x:c r="B7" s="16" t="str">
        <x:v>“汇总网页需求生成表格”记录 + 三模块历史需求追溯与架构清单V1.0</x:v>
      </x:c>
      <x:c r="C7" s="14"/>
      <x:c r="D7" s="45" t="str">
        <x:v>◐ 部分完成</x:v>
      </x:c>
      <x:c r="E7" s="16" t="str">
        <x:v>有能力但存在明确欠账</x:v>
      </x:c>
      <x:c r="F7" s="16"/>
      <x:c r="G7" s="16"/>
      <x:c r="H7" s="16"/>
    </x:row>
    <x:row r="8" ht="30" customHeight="1">
      <x:c r="A8" s="43" t="str">
        <x:v>变更原则</x:v>
      </x:c>
      <x:c r="B8" s="16" t="str">
        <x:v>只改用户本次明确批注，其余两个内嵌模块负载保持原文</x:v>
      </x:c>
      <x:c r="C8" s="14"/>
      <x:c r="D8" s="45" t="str">
        <x:v>⏳ 联机待验收</x:v>
      </x:c>
      <x:c r="E8" s="16" t="str">
        <x:v>需真实在线账号/协作环境</x:v>
      </x:c>
      <x:c r="F8" s="16"/>
      <x:c r="G8" s="16"/>
      <x:c r="H8" s="16"/>
    </x:row>
    <x:row r="9" ht="30" customHeight="1">
      <x:c r="A9" s="43" t="str">
        <x:v>发布目标</x:v>
      </x:c>
      <x:c r="B9" s="16" t="str">
        <x:v>https://rocstarliu-crypto.github.io/do/</x:v>
      </x:c>
      <x:c r="C9" s="14"/>
      <x:c r="D9" s="45" t="str">
        <x:v>⏸ 允许暂缓</x:v>
      </x:c>
      <x:c r="E9" s="16" t="str">
        <x:v>用户明确允许后续再做</x:v>
      </x:c>
      <x:c r="F9" s="16"/>
      <x:c r="G9" s="16"/>
      <x:c r="H9" s="16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 ht="30" customHeight="1">
      <x:c r="A11" s="21" t="str">
        <x:v>模块</x:v>
      </x:c>
      <x:c r="B11" s="21" t="str">
        <x:v>冻结基线</x:v>
      </x:c>
      <x:c r="C11" s="21" t="str">
        <x:v>历史条数</x:v>
      </x:c>
      <x:c r="D11" s="21" t="str">
        <x:v>归并功能组</x:v>
      </x:c>
      <x:c r="E11" s="21" t="str">
        <x:v>当前结论</x:v>
      </x:c>
      <x:c r="F11" s="21" t="str">
        <x:v>主要未完/冲突</x:v>
      </x:c>
      <x:c r="G11" s="14"/>
      <x:c r="H11" s="14"/>
    </x:row>
    <x:row r="12">
      <x:c r="A12" s="17" t="str">
        <x:v>进度管理</x:v>
      </x:c>
      <x:c r="B12" s="17" t="str">
        <x:v>V1.11</x:v>
      </x:c>
      <x:c r="C12" s="17" t="n">
        <x:v>124</x:v>
      </x:c>
      <x:c r="D12" s="17" t="n">
        <x:v>9</x:v>
      </x:c>
      <x:c r="E12" s="17" t="str">
        <x:v>⚠ 核心结构通过</x:v>
      </x:c>
      <x:c r="F12" s="17" t="str">
        <x:v>真实账号/邮件链路、全站Excel联机；已完成点击行为待确认</x:v>
      </x:c>
      <x:c r="G12" s="14"/>
      <x:c r="H12" s="14"/>
    </x:row>
    <x:row r="13">
      <x:c r="A13" s="17" t="str">
        <x:v>专项任务</x:v>
      </x:c>
      <x:c r="B13" s="17" t="str">
        <x:v>V1.4.1</x:v>
      </x:c>
      <x:c r="C13" s="17" t="n">
        <x:v>32</x:v>
      </x:c>
      <x:c r="D13" s="17" t="n">
        <x:v>8</x:v>
      </x:c>
      <x:c r="E13" s="17" t="str">
        <x:v>⚠ 本地核心通过</x:v>
      </x:c>
      <x:c r="F13" s="17" t="str">
        <x:v>云端协作、安全与全站Excel需联机验收</x:v>
      </x:c>
      <x:c r="G13" s="14"/>
      <x:c r="H13" s="14"/>
    </x:row>
    <x:row r="14">
      <x:c r="A14" s="17" t="str">
        <x:v>头脑风暴</x:v>
      </x:c>
      <x:c r="B14" s="17" t="str">
        <x:v>V1.13</x:v>
      </x:c>
      <x:c r="C14" s="17" t="n">
        <x:v>84</x:v>
      </x:c>
      <x:c r="D14" s="17" t="n">
        <x:v>6</x:v>
      </x:c>
      <x:c r="E14" s="17" t="str">
        <x:v>◐ 核心通过</x:v>
      </x:c>
      <x:c r="F14" s="17" t="str">
        <x:v>母线拖动/完整避障部分；VSDX暂缓；旧方向取消</x:v>
      </x:c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46" t="str">
        <x:v>逐项追溯统计（由06_240条逐项追溯自动计算）</x:v>
      </x:c>
      <x:c r="B16" s="46"/>
      <x:c r="C16" s="46"/>
      <x:c r="D16" s="46"/>
      <x:c r="E16" s="46"/>
      <x:c r="F16" s="46"/>
      <x:c r="G16" s="46"/>
      <x:c r="H16" s="46"/>
    </x:row>
    <x:row r="17" ht="30" customHeight="1">
      <x:c r="A17" s="21" t="str">
        <x:v>总条数</x:v>
      </x:c>
      <x:c r="B17" s="21" t="str">
        <x:v>✅已核验</x:v>
      </x:c>
      <x:c r="C17" s="21" t="str">
        <x:v>⚠已替代/取消</x:v>
      </x:c>
      <x:c r="D17" s="21" t="str">
        <x:v>◐部分完成</x:v>
      </x:c>
      <x:c r="E17" s="21" t="str">
        <x:v>⏳联机待验收</x:v>
      </x:c>
      <x:c r="F17" s="21" t="str">
        <x:v>⏸允许暂缓</x:v>
      </x:c>
      <x:c r="G17" s="21" t="str">
        <x:v>本次批注</x:v>
      </x:c>
      <x:c r="H17" s="21" t="str">
        <x:v>功能组总数</x:v>
      </x:c>
    </x:row>
    <x:row r="18" ht="32" customHeight="1">
      <x:c r="A18" s="47" t="n">
        <x:f>COUNTA('06_240条逐项追溯'!$A$5:$A$244)</x:f>
        <x:v>240</x:v>
      </x:c>
      <x:c r="B18" s="47" t="n">
        <x:f>COUNTIF('06_240条逐项追溯'!$M$5:$M$244,"PASS")</x:f>
        <x:v>209</x:v>
      </x:c>
      <x:c r="C18" s="47" t="n">
        <x:f>COUNTIF('06_240条逐项追溯'!$M$5:$M$244,"SUPERSEDED")</x:f>
        <x:v>15</x:v>
      </x:c>
      <x:c r="D18" s="47" t="n">
        <x:f>COUNTIF('06_240条逐项追溯'!$M$5:$M$244,"PARTIAL")</x:f>
        <x:v>2</x:v>
      </x:c>
      <x:c r="E18" s="47" t="n">
        <x:f>COUNTIF('06_240条逐项追溯'!$M$5:$M$244,"ONLINE")</x:f>
        <x:v>13</x:v>
      </x:c>
      <x:c r="F18" s="47" t="n">
        <x:f>COUNTIF('06_240条逐项追溯'!$M$5:$M$244,"DEFERRED")</x:f>
        <x:v>1</x:v>
      </x:c>
      <x:c r="G18" s="47" t="n">
        <x:f>COUNTA('04_本次批注验收'!$A$5:$A$18)</x:f>
        <x:v>14</x:v>
      </x:c>
      <x:c r="H18" s="47" t="n">
        <x:f>9+8+6</x:f>
        <x:v>23</x:v>
      </x:c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44" t="str">
        <x:v>验收结论</x:v>
      </x:c>
      <x:c r="B20" s="44"/>
      <x:c r="C20" s="44"/>
      <x:c r="D20" s="44"/>
      <x:c r="E20" s="44"/>
      <x:c r="F20" s="44"/>
      <x:c r="G20" s="44"/>
      <x:c r="H20" s="44"/>
    </x:row>
    <x:row r="21" ht="31" customHeight="1">
      <x:c r="A21" s="48" t="str">
        <x:v>1. 登录组件初始化故障已修复，最新账号流程已迁入；真实账号登录、确认邮件和找回密码需用户在正式网址完成验收。</x:v>
      </x:c>
      <x:c r="B21" s="48"/>
      <x:c r="C21" s="48"/>
      <x:c r="D21" s="48"/>
      <x:c r="E21" s="48"/>
      <x:c r="F21" s="48"/>
      <x:c r="G21" s="48"/>
      <x:c r="H21" s="48"/>
    </x:row>
    <x:row r="22" ht="31" customHeight="1">
      <x:c r="A22" s="48" t="str">
        <x:v>2. 三大模块的本地核心结构和功能均保留；专项V1.4.1与画布V1.13内嵌负载SHA-256未变化。</x:v>
      </x:c>
      <x:c r="B22" s="48"/>
      <x:c r="C22" s="48"/>
      <x:c r="D22" s="48"/>
      <x:c r="E22" s="48"/>
      <x:c r="F22" s="48"/>
      <x:c r="G22" s="48"/>
      <x:c r="H22" s="48"/>
    </x:row>
    <x:row r="23" ht="31" customHeight="1">
      <x:c r="A23" s="48" t="str">
        <x:v>3. 头脑风暴三条新批注已完成；“已完成再次点击”的历史冲突已在05和07表标识，确认前未擅自改生命周期代码。</x:v>
      </x:c>
      <x:c r="B23" s="48"/>
      <x:c r="C23" s="48"/>
      <x:c r="D23" s="48"/>
      <x:c r="E23" s="48"/>
      <x:c r="F23" s="48"/>
      <x:c r="G23" s="48"/>
      <x:c r="H23" s="48"/>
    </x:row>
    <x:row r="24" ht="31" customHeight="1">
      <x:c r="A24" s="48" t="str">
        <x:v>4. 未完成、冲突、替代、取消和允许暂缓项均明确标识；错误版本未参与本次工作。</x:v>
      </x:c>
      <x:c r="B24" s="48"/>
      <x:c r="C24" s="48"/>
      <x:c r="D24" s="48"/>
      <x:c r="E24" s="48"/>
      <x:c r="F24" s="48"/>
      <x:c r="G24" s="48"/>
      <x:c r="H24" s="48"/>
    </x:row>
  </x:sheetData>
  <x:mergeCells>
    <x:mergeCell ref="A1:H1"/>
    <x:mergeCell ref="A2:H2"/>
    <x:mergeCell ref="D4:H4"/>
    <x:mergeCell ref="A16:H16"/>
    <x:mergeCell ref="A20:H20"/>
    <x:mergeCell ref="A21:H21"/>
    <x:mergeCell ref="A22:H22"/>
    <x:mergeCell ref="A23:H23"/>
    <x:mergeCell ref="A24:H24"/>
  </x:mergeCells>
  <x:conditionalFormatting sqref="D5:D9">
    <x:cfRule type="containsText" dxfId="35" priority="1" operator="containsText" text="✅"/>
    <x:cfRule type="containsText" dxfId="36" priority="2" operator="containsText" text="⚠"/>
    <x:cfRule type="containsText" dxfId="37" priority="3" operator="containsText" text="◐"/>
    <x:cfRule type="containsText" dxfId="38" priority="4" operator="containsText" text="⏳"/>
    <x:cfRule type="containsText" dxfId="39" priority="5" operator="containsText" text="⏸"/>
  </x:conditionalFormatting>
  <x:conditionalFormatting sqref="E12:E14">
    <x:cfRule type="containsText" dxfId="40" priority="6" operator="containsText" text="✅"/>
    <x:cfRule type="containsText" dxfId="41" priority="7" operator="containsText" text="⚠"/>
    <x:cfRule type="containsText" dxfId="42" priority="8" operator="containsText" text="◐"/>
    <x:cfRule type="containsText" dxfId="43" priority="9" operator="containsText" text="⏳"/>
    <x:cfRule type="containsText" dxfId="44" priority="10" operator="containsText" text="⏸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2" hidden="0" customWidth="1"/>
    <x:col min="5" max="5" width="38" hidden="0" customWidth="1"/>
    <x:col min="6" max="6" width="22" hidden="0" customWidth="1"/>
    <x:col min="7" max="7" width="40" hidden="0" customWidth="1"/>
    <x:col min="8" max="8" width="38" hidden="0" customWidth="1"/>
  </x:cols>
  <x:sheetData>
    <x:row r="1" ht="34" customHeight="1">
      <x:c r="A1" s="19" t="str">
        <x:v>进度管理｜功能结构与验收</x:v>
      </x:c>
      <x:c r="B1" s="19"/>
      <x:c r="C1" s="19"/>
      <x:c r="D1" s="19"/>
      <x:c r="E1" s="19"/>
      <x:c r="F1" s="19"/>
      <x:c r="G1" s="19"/>
      <x:c r="H1" s="19"/>
    </x:row>
    <x:row r="2" ht="31" customHeight="1">
      <x:c r="A2" s="20" t="str">
        <x:v>124条历史要求归并为9个外行可读功能组；旧要求不删除，现行口径以V2.0和2026-09-02批注为准。</x:v>
      </x:c>
      <x:c r="B2" s="20"/>
      <x:c r="C2" s="20"/>
      <x:c r="D2" s="20"/>
      <x:c r="E2" s="20"/>
      <x:c r="F2" s="20"/>
      <x:c r="G2" s="20"/>
      <x:c r="H2" s="20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0" customHeight="1">
      <x:c r="A4" s="21" t="str">
        <x:v>编号</x:v>
      </x:c>
      <x:c r="B4" s="21" t="str">
        <x:v>一级分类</x:v>
      </x:c>
      <x:c r="C4" s="21" t="str">
        <x:v>功能要求（外行版）</x:v>
      </x:c>
      <x:c r="D4" s="21" t="str">
        <x:v>关键功能</x:v>
      </x:c>
      <x:c r="E4" s="21" t="str">
        <x:v>怎么验收</x:v>
      </x:c>
      <x:c r="F4" s="21" t="str">
        <x:v>验收结果</x:v>
      </x:c>
      <x:c r="G4" s="21" t="str">
        <x:v>说明/边界</x:v>
      </x:c>
      <x:c r="H4" s="21" t="str">
        <x:v>来源需求ID</x:v>
      </x:c>
    </x:row>
    <x:row r="5" ht="74" customHeight="1">
      <x:c r="A5" s="22" t="str">
        <x:v>P-01</x:v>
      </x:c>
      <x:c r="B5" s="22" t="str">
        <x:v>融合框架与版本治理</x:v>
      </x:c>
      <x:c r="C5" s="17" t="str">
        <x:v>把三个原网页装进同一个工作台；固定正确基线V2.0；保留需求和验收证据，但不在页面放“开发档案”入口。</x:v>
      </x:c>
      <x:c r="D5" s="17" t="str">
        <x:v>统一侧栏、模块内嵌、全局快速添加、四状态/归档口径、版本可识别。</x:v>
      </x:c>
      <x:c r="E5" s="17" t="str">
        <x:v>逐个切换三模块；确认不跳外站；确认无开发档案按钮；检查V2.0标识。</x:v>
      </x:c>
      <x:c r="F5" s="17" t="str">
        <x:v>⚠ 本地通过；联机账号待验收</x:v>
      </x:c>
      <x:c r="G5" s="17" t="str">
        <x:v>开发档案展示方式已按本次批注改为外部验收表；统一在线账号仍需联机测试。</x:v>
      </x:c>
      <x:c r="H5" s="17" t="str">
        <x:v>PM-001、PM-002、PM-003、PM-004、PM-005、PM-006、PM-007、PM-008、PM-009、PM-010、PM-011、PM-012</x:v>
      </x:c>
    </x:row>
    <x:row r="6" ht="74" customHeight="1">
      <x:c r="A6" s="22" t="str">
        <x:v>P-02</x:v>
      </x:c>
      <x:c r="B6" s="22" t="str">
        <x:v>页面框架与通用操作</x:v>
      </x:c>
      <x:c r="C6" s="17" t="str">
        <x:v>让日常入口清楚、搜索和快速添加随时可用，并适应不同窗口。</x:v>
      </x:c>
      <x:c r="D6" s="17" t="str">
        <x:v>导航、响应式、搜索、快捷键、快速创建、双击编辑、添加顺序。</x:v>
      </x:c>
      <x:c r="E6" s="17" t="str">
        <x:v>缩放窗口；搜索任务/子任务/日志；用Alt+A和底部快速添加。</x:v>
      </x:c>
      <x:c r="F6" s="17" t="str">
        <x:v>✅ 现行要求通过</x:v>
      </x:c>
      <x:c r="G6" s="17" t="str">
        <x:v>旧“五页面/统计卡”要求已被后续导航方案替代并保留在逐项追溯。</x:v>
      </x:c>
      <x:c r="H6" s="17" t="str">
        <x:v>PM-013、PM-014、PM-015、PM-016、PM-017、PM-018、PM-019、PM-020、PM-021、PM-022、PM-023、PM-024、PM-025、PM-026、PM-027</x:v>
      </x:c>
    </x:row>
    <x:row r="7" ht="74" customHeight="1">
      <x:c r="A7" s="22" t="str">
        <x:v>P-03</x:v>
      </x:c>
      <x:c r="B7" s="22" t="str">
        <x:v>任务、子任务与分类</x:v>
      </x:c>
      <x:c r="C7" s="17" t="str">
        <x:v>任务能新增、修改、删除、批量处理；子任务跟主任务一样可安排日期和周期。</x:v>
      </x:c>
      <x:c r="D7" s="17" t="str">
        <x:v>CRUD、四状态、多选/全选、批量状态/分类/日期、回收站、撤销重做、分类拖放、重复周期。</x:v>
      </x:c>
      <x:c r="E7" s="17" t="str">
        <x:v>创建主任务和子任务；批量改状态/日期；删除后恢复；撤销/重做。</x:v>
      </x:c>
      <x:c r="F7" s="17" t="str">
        <x:v>✅ 已核验</x:v>
      </x:c>
      <x:c r="G7" s="17" t="str">
        <x:v>沿用V1.11任务总库逻辑，指定修改未触碰该区域。</x:v>
      </x:c>
      <x:c r="H7" s="17" t="str">
        <x:v>PM-028、PM-029、PM-030、PM-031、PM-032、PM-033、PM-034、PM-035、PM-036、PM-037、PM-038、PM-039、PM-040、PM-041、PM-042、PM-043、PM-044、PM-045、PM-046、PM-047、PM-048、PM-049、PM-050、PM-051、PM-052、PM-053、PM-054、PM-055</x:v>
      </x:c>
    </x:row>
    <x:row r="8" ht="74" customHeight="1">
      <x:c r="A8" s="22" t="str">
        <x:v>P-04</x:v>
      </x:c>
      <x:c r="B8" s="22" t="str">
        <x:v>工作日志与任务生命周期</x:v>
      </x:c>
      <x:c r="C8" s="17" t="str">
        <x:v>系统自动记住任务何时创建、修改、完成和归档，方便回看。</x:v>
      </x:c>
      <x:c r="D8" s="17" t="str">
        <x:v>操作时间、修改前后、自动顺延、完成日志、月/日折叠、历史倒序。</x:v>
      </x:c>
      <x:c r="E8" s="17" t="str">
        <x:v>完成和修改任务后查看工作日志；检查倒序、折叠和归档。</x:v>
      </x:c>
      <x:c r="F8" s="17" t="str">
        <x:v>⚠ 结构通过；推进规则待确认</x:v>
      </x:c>
      <x:c r="G8" s="17" t="str">
        <x:v>已完成再次点击是否进入完成待优化，原话与非逐字历史摘要冲突；本轮只追溯，不擅自改状态机。</x:v>
      </x:c>
      <x:c r="H8" s="17" t="str">
        <x:v>PM-056、PM-057、PM-058、PM-059、PM-060、PM-061、PM-062、PM-063、PM-064、PM-065、PM-066、PM-067、PM-068、PM-069、PM-070、PM-071、PM-072</x:v>
      </x:c>
    </x:row>
    <x:row r="9" ht="74" customHeight="1">
      <x:c r="A9" s="22" t="str">
        <x:v>P-05</x:v>
      </x:c>
      <x:c r="B9" s="22" t="str">
        <x:v>数据、Excel、账号与发布</x:v>
      </x:c>
      <x:c r="C9" s="17" t="str">
        <x:v>本机自动保存；能用Excel完整搬家；公开版和个人数据隔离；在线后只用一个外层账号。</x:v>
      </x:c>
      <x:c r="D9" s="17" t="str">
        <x:v>本地存储、Excel导入导出、旧字段兼容、全站备份、GitHub Pages、邮箱注册/确认/登录/找回密码/会话保持。</x:v>
      </x:c>
      <x:c r="E9" s="17" t="str">
        <x:v>导出后清空再导入；核对三模块数据；打开公开网址；检查账号弹窗；用真实账号验证邮件链路。</x:v>
      </x:c>
      <x:c r="F9" s="17" t="str">
        <x:v>◐ 登录代码修复；真实账号待验收</x:v>
      </x:c>
      <x:c r="G9" s="17" t="str">
        <x:v>已恢复V1.11加载回退并迁入V1.4.1最新账号流程；真实邮箱确认和既有账号登录需用户在正式网页验证。</x:v>
      </x:c>
      <x:c r="H9" s="17" t="str">
        <x:v>PM-073、PM-074、PM-075、PM-076、PM-077、PM-078、PM-079、PM-080、PM-081、PM-082、PM-083、PM-084、PM-085、PM-086、PM-087、PM-088、PM-089</x:v>
      </x:c>
    </x:row>
    <x:row r="10" ht="74" customHeight="1">
      <x:c r="A10" s="22" t="str">
        <x:v>P-06</x:v>
      </x:c>
      <x:c r="B10" s="22" t="str">
        <x:v>品牌与公开页面</x:v>
      </x:c>
      <x:c r="C10" s="17" t="str">
        <x:v>公开网址打开就是DO工作台；标志、名称和字体可按设置保存。</x:v>
      </x:c>
      <x:c r="D10" s="17" t="str">
        <x:v>GitHub Pages、公开空白隔离、DO标志、三层名称、品牌实时预览和备份。</x:v>
      </x:c>
      <x:c r="E10" s="17" t="str">
        <x:v>无痕打开公开网址；修改品牌后刷新；Excel备份后恢复。</x:v>
      </x:c>
      <x:c r="F10" s="17" t="str">
        <x:v>✅ 结构核验通过</x:v>
      </x:c>
      <x:c r="G10" s="17" t="str">
        <x:v>本次发布完成后再以线上工作流和网址作为最终证据。</x:v>
      </x:c>
      <x:c r="H10" s="17" t="str">
        <x:v>PM-090、PM-091、PM-092、PM-093、PM-094、PM-095、PM-096、PM-097、PM-098、PM-099</x:v>
      </x:c>
    </x:row>
    <x:row r="11" ht="74" customHeight="1">
      <x:c r="A11" s="22" t="str">
        <x:v>P-07</x:v>
      </x:c>
      <x:c r="B11" s="22" t="str">
        <x:v>专项任务和头脑风暴入口</x:v>
      </x:c>
      <x:c r="C11" s="17" t="str">
        <x:v>在同一侧栏进入两个完整子系统，不再维护三个分散网页。</x:v>
      </x:c>
      <x:c r="D11" s="17" t="str">
        <x:v>专项任务V1.4.1和头脑风暴V1.13完整负载内嵌。</x:v>
      </x:c>
      <x:c r="E11" s="17" t="str">
        <x:v>断网切换两个模块；检查关键工具仍能使用。</x:v>
      </x:c>
      <x:c r="F11" s="17" t="str">
        <x:v>✅ 已核验</x:v>
      </x:c>
      <x:c r="G11" s="17" t="str">
        <x:v>两个原始负载SHA-256与冻结基线完全一致。</x:v>
      </x:c>
      <x:c r="H11" s="17" t="str">
        <x:v>PM-100、PM-101</x:v>
      </x:c>
    </x:row>
    <x:row r="12" ht="74" customHeight="1">
      <x:c r="A12" s="22" t="str">
        <x:v>P-08</x:v>
      </x:c>
      <x:c r="B12" s="22" t="str">
        <x:v>任务状态（四状态）</x:v>
      </x:c>
      <x:c r="C12" s="17" t="str">
        <x:v>任务状态页始终只有未开展、进行中、已完成、完成待优化四栏；归档只是已完成的历史子集。</x:v>
      </x:c>
      <x:c r="D12" s="17" t="str">
        <x:v>四列、分类分组、双击编辑、每列显示条数、完成待优化窄列；单击推进终点待确认。</x:v>
      </x:c>
      <x:c r="E12" s="17" t="str">
        <x:v>确认页面标题“四状态”；数四列；核对已完成=当前完成+历史完成；另行确认已完成再次点击行为。</x:v>
      </x:c>
      <x:c r="F12" s="17" t="str">
        <x:v>⚠ 四栏通过；推进终点待确认</x:v>
      </x:c>
      <x:c r="G12" s="17" t="str">
        <x:v>没有第五个业务状态；历史完成仅在已完成栏内简要展示。已完成是否继续推进到完成待优化存在对话冲突。</x:v>
      </x:c>
      <x:c r="H12" s="17" t="str">
        <x:v>PM-102、PM-103、PM-104、PM-105、PM-106、PM-107、PM-108、PM-109、PM-110、PM-111、PM-112、PM-113、PM-114、PM-115、PM-116、PM-117</x:v>
      </x:c>
    </x:row>
    <x:row r="13" ht="74" customHeight="1">
      <x:c r="A13" s="22" t="str">
        <x:v>P-09</x:v>
      </x:c>
      <x:c r="B13" s="22" t="str">
        <x:v>我的一天、全部任务与日程</x:v>
      </x:c>
      <x:c r="C13" s="17" t="str">
        <x:v>今天要做什么、所有任务、日/周/月安排都能从同一任务库查看，不会重复造任务。</x:v>
      </x:c>
      <x:c r="D13" s="17" t="str">
        <x:v>我的一天、To Do分组、日期文案、日程三视图、主子任务、日期直接添加。</x:v>
      </x:c>
      <x:c r="E13" s="17" t="str">
        <x:v>同一任务在不同视图核对ID/数量；切换日周月；按日期新增。</x:v>
      </x:c>
      <x:c r="F13" s="17" t="str">
        <x:v>✅ 已核验</x:v>
      </x:c>
      <x:c r="G13" s="17" t="str">
        <x:v>常规视图不显示归档，也不新增“之后/历史/未安排”块。</x:v>
      </x:c>
      <x:c r="H13" s="17" t="str">
        <x:v>PM-118、PM-119、PM-120、PM-121、PM-122、PM-123、PM-124</x:v>
      </x:c>
    </x:row>
  </x:sheetData>
  <x:mergeCells>
    <x:mergeCell ref="A1:H1"/>
    <x:mergeCell ref="A2:H2"/>
  </x:mergeCells>
  <x:conditionalFormatting sqref="F5:F13">
    <x:cfRule type="containsText" dxfId="0" priority="1" operator="containsText" text="✅"/>
    <x:cfRule type="containsText" dxfId="1" priority="2" operator="containsText" text="⚠"/>
    <x:cfRule type="containsText" dxfId="2" priority="3" operator="containsText" text="◐"/>
    <x:cfRule type="containsText" dxfId="3" priority="4" operator="containsText" text="⏳"/>
    <x:cfRule type="containsText" dxfId="4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b381c6c9ad704e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2" hidden="0" customWidth="1"/>
    <x:col min="5" max="5" width="38" hidden="0" customWidth="1"/>
    <x:col min="6" max="6" width="22" hidden="0" customWidth="1"/>
    <x:col min="7" max="7" width="40" hidden="0" customWidth="1"/>
    <x:col min="8" max="8" width="38" hidden="0" customWidth="1"/>
  </x:cols>
  <x:sheetData>
    <x:row r="1" ht="34" customHeight="1">
      <x:c r="A1" s="19" t="str">
        <x:v>专项任务｜功能结构与验收</x:v>
      </x:c>
      <x:c r="B1" s="19"/>
      <x:c r="C1" s="19"/>
      <x:c r="D1" s="19"/>
      <x:c r="E1" s="19"/>
      <x:c r="F1" s="19"/>
      <x:c r="G1" s="19"/>
      <x:c r="H1" s="19"/>
    </x:row>
    <x:row r="2" ht="31" customHeight="1">
      <x:c r="A2" s="20" t="str">
        <x:v>32条历史要求归并为8个功能组；本地能力与在线协作分开验收。</x:v>
      </x:c>
      <x:c r="B2" s="20"/>
      <x:c r="C2" s="20"/>
      <x:c r="D2" s="20"/>
      <x:c r="E2" s="20"/>
      <x:c r="F2" s="20"/>
      <x:c r="G2" s="20"/>
      <x:c r="H2" s="20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0" customHeight="1">
      <x:c r="A4" s="21" t="str">
        <x:v>编号</x:v>
      </x:c>
      <x:c r="B4" s="21" t="str">
        <x:v>一级分类</x:v>
      </x:c>
      <x:c r="C4" s="21" t="str">
        <x:v>功能要求（外行版）</x:v>
      </x:c>
      <x:c r="D4" s="21" t="str">
        <x:v>关键功能</x:v>
      </x:c>
      <x:c r="E4" s="21" t="str">
        <x:v>怎么验收</x:v>
      </x:c>
      <x:c r="F4" s="21" t="str">
        <x:v>验收结果</x:v>
      </x:c>
      <x:c r="G4" s="21" t="str">
        <x:v>说明/边界</x:v>
      </x:c>
      <x:c r="H4" s="21" t="str">
        <x:v>来源需求ID</x:v>
      </x:c>
    </x:row>
    <x:row r="5" ht="74" customHeight="1">
      <x:c r="A5" s="22" t="str">
        <x:v>S-01</x:v>
      </x:c>
      <x:c r="B5" s="22" t="str">
        <x:v>完整融合与本地运行</x:v>
      </x:c>
      <x:c r="C5" s="17" t="str">
        <x:v>专项任务V1.4.1不简化，直接在V2.0里运行；本地打开不依赖./special/外部页面。</x:v>
      </x:c>
      <x:c r="D5" s="17" t="str">
        <x:v>完整HTML/CSS/JS内嵌、独立存储命名空间、旧独立登录入口在融合界面隐藏。</x:v>
      </x:c>
      <x:c r="E5" s="17" t="str">
        <x:v>断网打开专项任务；检查不跳外链；核对负载SHA-256。</x:v>
      </x:c>
      <x:c r="F5" s="17" t="str">
        <x:v>✅ 已核验</x:v>
      </x:c>
      <x:c r="G5" s="17" t="str">
        <x:v>负载2,219,670 bytes，SHA-256与冻结基线一致。</x:v>
      </x:c>
      <x:c r="H5" s="17" t="str">
        <x:v>SP-001、SP-002</x:v>
      </x:c>
    </x:row>
    <x:row r="6" ht="74" customHeight="1">
      <x:c r="A6" s="22" t="str">
        <x:v>S-02</x:v>
      </x:c>
      <x:c r="B6" s="22" t="str">
        <x:v>云端协作与安全</x:v>
      </x:c>
      <x:c r="C6" s="17" t="str">
        <x:v>在线后可以注册、保存、共享、看历史，并防止多人覆盖和未同步草稿丢失。</x:v>
      </x:c>
      <x:c r="D6" s="17" t="str">
        <x:v>Supabase账号、共享码、版本冲突、历史版本、找回密码、RLS、登录历史。</x:v>
      </x:c>
      <x:c r="E6" s="17" t="str">
        <x:v>用两个账号共享同一项目并制造冲突；验证权限、历史和找回密码。</x:v>
      </x:c>
      <x:c r="F6" s="17" t="str">
        <x:v>⏳ 联机待验收</x:v>
      </x:c>
      <x:c r="G6" s="17" t="str">
        <x:v>本地版保留原云端代码但隐藏旧入口；需统一外层账号后做真实端到端测试。</x:v>
      </x:c>
      <x:c r="H6" s="17" t="str">
        <x:v>SP-003、SP-004、SP-005、SP-006、SP-007、SP-008、SP-009、SP-010、SP-011</x:v>
      </x:c>
    </x:row>
    <x:row r="7" ht="74" customHeight="1">
      <x:c r="A7" s="22" t="str">
        <x:v>S-03</x:v>
      </x:c>
      <x:c r="B7" s="22" t="str">
        <x:v>四级任务树与进度</x:v>
      </x:c>
      <x:c r="C7" s="17" t="str">
        <x:v>大任务可以拆到四级，父任务的进度和状态由子任务自动汇总。</x:v>
      </x:c>
      <x:c r="D7" s="17" t="str">
        <x:v>四级层级、父子联动、自动进度、层级限制。</x:v>
      </x:c>
      <x:c r="E7" s="17" t="str">
        <x:v>连续创建四级任务；修改子任务状态/进度；检查父级自动变化。</x:v>
      </x:c>
      <x:c r="F7" s="17" t="str">
        <x:v>✅ 已核验</x:v>
      </x:c>
      <x:c r="G7" s="17" t="str">
        <x:v>沿用V1.4.1完整逻辑。</x:v>
      </x:c>
      <x:c r="H7" s="17" t="str">
        <x:v>SP-012、SP-013</x:v>
      </x:c>
    </x:row>
    <x:row r="8" ht="74" customHeight="1">
      <x:c r="A8" s="22" t="str">
        <x:v>S-04</x:v>
      </x:c>
      <x:c r="B8" s="22" t="str">
        <x:v>公开数据隔离</x:v>
      </x:c>
      <x:c r="C8" s="17" t="str">
        <x:v>别人第一次打开公开页面时看到空白工作区，不会看到开发者或其他人的任务。</x:v>
      </x:c>
      <x:c r="D8" s="17" t="str">
        <x:v>专项存储隔离、公开版默认空白。</x:v>
      </x:c>
      <x:c r="E8" s="17" t="str">
        <x:v>无痕窗口打开；核对没有预置个人任务。</x:v>
      </x:c>
      <x:c r="F8" s="17" t="str">
        <x:v>✅ 结构核验通过</x:v>
      </x:c>
      <x:c r="G8" s="17" t="str">
        <x:v>在线发布后再做无痕复核。</x:v>
      </x:c>
      <x:c r="H8" s="17" t="str">
        <x:v>SP-014、SP-015</x:v>
      </x:c>
    </x:row>
    <x:row r="9" ht="74" customHeight="1">
      <x:c r="A9" s="22" t="str">
        <x:v>S-05</x:v>
      </x:c>
      <x:c r="B9" s="22" t="str">
        <x:v>动态表格与筛选</x:v>
      </x:c>
      <x:c r="C9" s="17" t="str">
        <x:v>表格的列名、列宽、字段和筛选都可按项目调整，筛选后表格与状态图一致。</x:v>
      </x:c>
      <x:c r="D9" s="17" t="str">
        <x:v>默认字段、自定义列、拖动列宽、筛选联动。</x:v>
      </x:c>
      <x:c r="E9" s="17" t="str">
        <x:v>新增/改名/隐藏列；多条件筛选；核对左右区域行数。</x:v>
      </x:c>
      <x:c r="F9" s="17" t="str">
        <x:v>✅ 已核验</x:v>
      </x:c>
      <x:c r="G9" s="17" t="str">
        <x:v>本次未改专项负载。</x:v>
      </x:c>
      <x:c r="H9" s="17" t="str">
        <x:v>SP-016、SP-017、SP-018、SP-019</x:v>
      </x:c>
    </x:row>
    <x:row r="10" ht="74" customHeight="1">
      <x:c r="A10" s="22" t="str">
        <x:v>S-06</x:v>
      </x:c>
      <x:c r="B10" s="22" t="str">
        <x:v>多项目标签</x:v>
      </x:c>
      <x:c r="C10" s="17" t="str">
        <x:v>一个网页管理多个项目，每条任务带项目标签，并共享同一套公共列结构。</x:v>
      </x:c>
      <x:c r="D10" s="17" t="str">
        <x:v>项目标签、标签管理、公共列结构。</x:v>
      </x:c>
      <x:c r="E10" s="17" t="str">
        <x:v>创建两个项目标签；切换/筛选；改公共列后核对各项目。</x:v>
      </x:c>
      <x:c r="F10" s="17" t="str">
        <x:v>✅ 已核验</x:v>
      </x:c>
      <x:c r="G10" s="17" t="str">
        <x:v>本次扩大工作区，任务增多时仍可滚动查看。</x:v>
      </x:c>
      <x:c r="H10" s="17" t="str">
        <x:v>SP-020、SP-021、SP-022</x:v>
      </x:c>
    </x:row>
    <x:row r="11" ht="74" customHeight="1">
      <x:c r="A11" s="22" t="str">
        <x:v>S-07</x:v>
      </x:c>
      <x:c r="B11" s="22" t="str">
        <x:v>Excel、保存与历史</x:v>
      </x:c>
      <x:c r="C11" s="17" t="str">
        <x:v>专项数据能单独导入导出，也能随全站Excel备份；浏览器自动保存，文件可再次打开。</x:v>
      </x:c>
      <x:c r="D11" s="17" t="str">
        <x:v>Excel导入导出、工作簿保存/打开、自动保存、全站联动。</x:v>
      </x:c>
      <x:c r="E11" s="17" t="str">
        <x:v>导出—清空—导入；保存后刷新；打开工作簿继续编辑。</x:v>
      </x:c>
      <x:c r="F11" s="17" t="str">
        <x:v>⚠ 本地通过；全站联动待线上复核</x:v>
      </x:c>
      <x:c r="G11" s="17" t="str">
        <x:v>专项独立功能已保留；跨模块全站Excel需正式发布后端到端验证。</x:v>
      </x:c>
      <x:c r="H11" s="17" t="str">
        <x:v>SP-023、SP-024、SP-025、SP-026、SP-027、SP-028</x:v>
      </x:c>
    </x:row>
    <x:row r="12" ht="74" customHeight="1">
      <x:c r="A12" s="22" t="str">
        <x:v>S-08</x:v>
      </x:c>
      <x:c r="B12" s="22" t="str">
        <x:v>模块边界、专项状态与状态图</x:v>
      </x:c>
      <x:c r="C12" s="17" t="str">
        <x:v>专项任务仍是项目拆解工具，保留它自己的五种专项状态；右侧状态图与筛选后的任务逐行对齐。</x:v>
      </x:c>
      <x:c r="D12" s="17" t="str">
        <x:v>模块定位、专项五状态、状态图筛选与行对齐。</x:v>
      </x:c>
      <x:c r="E12" s="17" t="str">
        <x:v>切换专项状态；隐藏状态；筛选任务；核对状态图占位和行对齐。</x:v>
      </x:c>
      <x:c r="F12" s="17" t="str">
        <x:v>✅ 已核验</x:v>
      </x:c>
      <x:c r="G12" s="17" t="str">
        <x:v>主进度模块四状态与专项模块五状态是两个不同业务模型，不冲突。</x:v>
      </x:c>
      <x:c r="H12" s="17" t="str">
        <x:v>SP-029、SP-030、SP-031、SP-032</x:v>
      </x:c>
    </x:row>
  </x:sheetData>
  <x:mergeCells>
    <x:mergeCell ref="A1:H1"/>
    <x:mergeCell ref="A2:H2"/>
  </x:mergeCells>
  <x:conditionalFormatting sqref="F5:F12">
    <x:cfRule type="containsText" dxfId="5" priority="1" operator="containsText" text="✅"/>
    <x:cfRule type="containsText" dxfId="6" priority="2" operator="containsText" text="⚠"/>
    <x:cfRule type="containsText" dxfId="7" priority="3" operator="containsText" text="◐"/>
    <x:cfRule type="containsText" dxfId="8" priority="4" operator="containsText" text="⏳"/>
    <x:cfRule type="containsText" dxfId="9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697c435fe27b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2" hidden="0" customWidth="1"/>
    <x:col min="5" max="5" width="38" hidden="0" customWidth="1"/>
    <x:col min="6" max="6" width="22" hidden="0" customWidth="1"/>
    <x:col min="7" max="7" width="40" hidden="0" customWidth="1"/>
    <x:col min="8" max="8" width="38" hidden="0" customWidth="1"/>
  </x:cols>
  <x:sheetData>
    <x:row r="1" ht="34" customHeight="1">
      <x:c r="A1" s="19" t="str">
        <x:v>头脑风暴｜功能结构与验收</x:v>
      </x:c>
      <x:c r="B1" s="19"/>
      <x:c r="C1" s="19"/>
      <x:c r="D1" s="19"/>
      <x:c r="E1" s="19"/>
      <x:c r="F1" s="19"/>
      <x:c r="G1" s="19"/>
      <x:c r="H1" s="19"/>
    </x:row>
    <x:row r="2" ht="31" customHeight="1">
      <x:c r="A2" s="20" t="str">
        <x:v>84条历史要求归并为6个功能组；完整保留V1.13，并明确两项技术欠账、一项允许暂缓、两项旧方向取消。</x:v>
      </x:c>
      <x:c r="B2" s="20"/>
      <x:c r="C2" s="20"/>
      <x:c r="D2" s="20"/>
      <x:c r="E2" s="20"/>
      <x:c r="F2" s="20"/>
      <x:c r="G2" s="20"/>
      <x:c r="H2" s="20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0" customHeight="1">
      <x:c r="A4" s="21" t="str">
        <x:v>编号</x:v>
      </x:c>
      <x:c r="B4" s="21" t="str">
        <x:v>一级分类</x:v>
      </x:c>
      <x:c r="C4" s="21" t="str">
        <x:v>功能要求（外行版）</x:v>
      </x:c>
      <x:c r="D4" s="21" t="str">
        <x:v>关键功能</x:v>
      </x:c>
      <x:c r="E4" s="21" t="str">
        <x:v>怎么验收</x:v>
      </x:c>
      <x:c r="F4" s="21" t="str">
        <x:v>验收结果</x:v>
      </x:c>
      <x:c r="G4" s="21" t="str">
        <x:v>说明/边界</x:v>
      </x:c>
      <x:c r="H4" s="21" t="str">
        <x:v>来源需求ID</x:v>
      </x:c>
    </x:row>
    <x:row r="5" ht="74" customHeight="1">
      <x:c r="A5" s="22" t="str">
        <x:v>C-01</x:v>
      </x:c>
      <x:c r="B5" s="22" t="str">
        <x:v>V1.13完整迁移与关键能力</x:v>
      </x:c>
      <x:c r="C5" s="17" t="str">
        <x:v>把原V1.13画布原文放进V2.0，节点、连线、配平、上下游审查一个不少。</x:v>
      </x:c>
      <x:c r="D5" s="17" t="str">
        <x:v>完整负载、上下游审查与建议、层级树、综合交互、连接线和配平联动。</x:v>
      </x:c>
      <x:c r="E5" s="17" t="str">
        <x:v>断网打开；建立上下游失衡；生成并应用建议；核对重新配平。</x:v>
      </x:c>
      <x:c r="F5" s="17" t="str">
        <x:v>✅ 已核验</x:v>
      </x:c>
      <x:c r="G5" s="17" t="str">
        <x:v>负载119,443 bytes，SHA-256与冻结基线一致。</x:v>
      </x:c>
      <x:c r="H5" s="17" t="str">
        <x:v>CV-001、CV-002、CV-003、CV-004、CV-005、CV-006</x:v>
      </x:c>
    </x:row>
    <x:row r="6" ht="74" customHeight="1">
      <x:c r="A6" s="22" t="str">
        <x:v>C-02</x:v>
      </x:c>
      <x:c r="B6" s="22" t="str">
        <x:v>产品框架与导航</x:v>
      </x:c>
      <x:c r="C6" s="17" t="str">
        <x:v>画布能缩放、定位、搜索和回中心；复杂工具收进菜单，不把按钮铺满。</x:v>
      </x:c>
      <x:c r="D6" s="17" t="str">
        <x:v>小地图、搜索定位、缩放/100%/显示全部、菜单归并、撤销恢复。</x:v>
      </x:c>
      <x:c r="E6" s="17" t="str">
        <x:v>缩放并回中心；搜索节点；逐个打开合并菜单。</x:v>
      </x:c>
      <x:c r="F6" s="17" t="str">
        <x:v>✅ 已核验</x:v>
      </x:c>
      <x:c r="G6" s="17" t="str">
        <x:v>沿用V1.13完整界面。</x:v>
      </x:c>
      <x:c r="H6" s="17" t="str">
        <x:v>CV-007、CV-008、CV-009、CV-010、CV-011、CV-012、CV-013</x:v>
      </x:c>
    </x:row>
    <x:row r="7" ht="74" customHeight="1">
      <x:c r="A7" s="22" t="str">
        <x:v>C-03</x:v>
      </x:c>
      <x:c r="B7" s="22" t="str">
        <x:v>数据配平与上下游联动</x:v>
      </x:c>
      <x:c r="C7" s="17" t="str">
        <x:v>每个过程节点自动算进、出、差额；上游数据变了，下游能跟随或提示失衡，并给可编辑建议。</x:v>
      </x:c>
      <x:c r="D7" s="17" t="str">
        <x:v>进出项识别、角色、比例联动、自动补差、红色失衡、表格和图形同步。</x:v>
      </x:c>
      <x:c r="E7" s="17" t="str">
        <x:v>构造平衡/失衡样例；改上游数量；查看下游审查；编辑建议后应用。</x:v>
      </x:c>
      <x:c r="F7" s="17" t="str">
        <x:v>✅ 已核验</x:v>
      </x:c>
      <x:c r="G7" s="17" t="str">
        <x:v>V1.13历史逻辑验收8/8与浏览器验收12/12，负载未改。</x:v>
      </x:c>
      <x:c r="H7" s="17" t="str">
        <x:v>CV-014、CV-015、CV-016、CV-017、CV-018、CV-019、CV-020、CV-021、CV-022、CV-023、CV-024、CV-025</x:v>
      </x:c>
    </x:row>
    <x:row r="8" ht="74" customHeight="1">
      <x:c r="A8" s="22" t="str">
        <x:v>C-04</x:v>
      </x:c>
      <x:c r="B8" s="22" t="str">
        <x:v>节点结构、层级和布局</x:v>
      </x:c>
      <x:c r="C8" s="17" t="str">
        <x:v>像SmartArt一样用方向键和Tab快速搭层级，也可自由摆放、框选对齐、使用模板。</x:v>
      </x:c>
      <x:c r="D8" s="17" t="str">
        <x:v>LR/TB两种布局、Tab层级、四箭头、模板、复制粘贴、双击编辑、自由节点固定。</x:v>
      </x:c>
      <x:c r="E8" s="17" t="str">
        <x:v>建立三层树；切换左右/上下；框选对齐；应用模板；固定自由节点再布局。</x:v>
      </x:c>
      <x:c r="F8" s="17" t="str">
        <x:v>✅ 已核验</x:v>
      </x:c>
      <x:c r="G8" s="17" t="str">
        <x:v>历史下→上、右→左两种Smart方向已明确取消。</x:v>
      </x:c>
      <x:c r="H8" s="17" t="str">
        <x:v>CV-026、CV-027、CV-028、CV-029、CV-030、CV-031、CV-032、CV-033、CV-034、CV-035、CV-036、CV-037、CV-038、CV-039、CV-040、CV-041、CV-042、CV-043、CV-044、CV-045、CV-046、CV-047、CV-048、CV-049、CV-050、CV-051</x:v>
      </x:c>
    </x:row>
    <x:row r="9" ht="74" customHeight="1">
      <x:c r="A9" s="22" t="str">
        <x:v>C-05</x:v>
      </x:c>
      <x:c r="B9" s="22" t="str">
        <x:v>连接线与图面表达</x:v>
      </x:c>
      <x:c r="C9" s="17" t="str">
        <x:v>能像流程图软件一样画线、选线、改端点、改样式、显示数量；分支线尽量整齐避让。</x:v>
      </x:c>
      <x:c r="D9" s="17" t="str">
        <x:v>GIS式选择、拖端点、单位/标签、母线、自主画线、自动寻路、线属性和样式。</x:v>
      </x:c>
      <x:c r="E9" s="17" t="str">
        <x:v>画多分支流程；拖端点；框选/套索；改虚实线和标签；检查避让。</x:v>
      </x:c>
      <x:c r="F9" s="17" t="str">
        <x:v>◐ 2项部分完成</x:v>
      </x:c>
      <x:c r="G9" s="17" t="str">
        <x:v>CV-063母线整体拖动、CV-065完整自动避障仍是明确技术欠账，其余现行功能保留。</x:v>
      </x:c>
      <x:c r="H9" s="17" t="str">
        <x:v>CV-052、CV-053、CV-054、CV-055、CV-056、CV-057、CV-058、CV-059、CV-060、CV-061、CV-062、CV-063、CV-064、CV-065、CV-066、CV-067、CV-068、CV-069、CV-070、CV-071、CV-072</x:v>
      </x:c>
    </x:row>
    <x:row r="10" ht="74" customHeight="1">
      <x:c r="A10" s="22" t="str">
        <x:v>C-06</x:v>
      </x:c>
      <x:c r="B10" s="22" t="str">
        <x:v>项目文件、导入导出与集成</x:v>
      </x:c>
      <x:c r="C10" s="17" t="str">
        <x:v>画布可自动保存、保存/打开项目、撤销100步，并导出常用格式和Excel。</x:v>
      </x:c>
      <x:c r="D10" s="17" t="str">
        <x:v>Excel导入导出、异常提示、自动保存、历史、SVG/PNG/PDF/Word/Excel、项目名。</x:v>
      </x:c>
      <x:c r="E10" s="17" t="str">
        <x:v>保存后重开；导入含空白层级Excel；导出各格式；撤销/恢复。</x:v>
      </x:c>
      <x:c r="F10" s="17" t="str">
        <x:v>⚠ 现行功能通过；1项暂缓/2项取消</x:v>
      </x:c>
      <x:c r="G10" s="17" t="str">
        <x:v>原生VSDX用户允许暂缓；旧Smart下→上/右→左已取消，均不阻断V2.0。</x:v>
      </x:c>
      <x:c r="H10" s="17" t="str">
        <x:v>CV-073、CV-074、CV-075、CV-076、CV-077、CV-078、CV-079、CV-080、CV-081、CV-082、CV-083、CV-084</x:v>
      </x:c>
    </x:row>
  </x:sheetData>
  <x:mergeCells>
    <x:mergeCell ref="A1:H1"/>
    <x:mergeCell ref="A2:H2"/>
  </x:mergeCells>
  <x:conditionalFormatting sqref="F5:F10">
    <x:cfRule type="containsText" dxfId="10" priority="1" operator="containsText" text="✅"/>
    <x:cfRule type="containsText" dxfId="11" priority="2" operator="containsText" text="⚠"/>
    <x:cfRule type="containsText" dxfId="12" priority="3" operator="containsText" text="◐"/>
    <x:cfRule type="containsText" dxfId="13" priority="4" operator="containsText" text="⏳"/>
    <x:cfRule type="containsText" dxfId="14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477182d624bf49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46" hidden="0" customWidth="1"/>
    <x:col min="4" max="4" width="48" hidden="0" customWidth="1"/>
    <x:col min="5" max="5" width="18" hidden="0" customWidth="1"/>
    <x:col min="6" max="6" width="45" hidden="0" customWidth="1"/>
  </x:cols>
  <x:sheetData>
    <x:row r="1" ht="34" customHeight="1">
      <x:c r="A1" s="19" t="str">
        <x:v>DO 融合工作台 V2.0｜本次批注验收</x:v>
      </x:c>
      <x:c r="B1" s="19"/>
      <x:c r="C1" s="19"/>
      <x:c r="D1" s="19"/>
      <x:c r="E1" s="19"/>
      <x:c r="F1" s="19"/>
    </x:row>
    <x:row r="2" ht="31" customHeight="1">
      <x:c r="A2" s="20" t="str">
        <x:v>逐条对应用户2026-09-02批注；“通过”表示当前交付代码满足，“安全限制”表示需要用户在外部目标页做最终确认。</x:v>
      </x:c>
      <x:c r="B2" s="20"/>
      <x:c r="C2" s="20"/>
      <x:c r="D2" s="20"/>
      <x:c r="E2" s="20"/>
      <x:c r="F2" s="20"/>
    </x:row>
    <x:row r="3">
      <x:c r="A3" s="14"/>
      <x:c r="B3" s="14"/>
      <x:c r="C3" s="14"/>
      <x:c r="D3" s="14"/>
      <x:c r="E3" s="14"/>
      <x:c r="F3" s="14"/>
    </x:row>
    <x:row r="4" ht="30" customHeight="1">
      <x:c r="A4" s="21" t="str">
        <x:v>编号</x:v>
      </x:c>
      <x:c r="B4" s="21" t="str">
        <x:v>用户批注</x:v>
      </x:c>
      <x:c r="C4" s="21" t="str">
        <x:v>当前实现</x:v>
      </x:c>
      <x:c r="D4" s="21" t="str">
        <x:v>验收证据</x:v>
      </x:c>
      <x:c r="E4" s="21" t="str">
        <x:v>结果</x:v>
      </x:c>
      <x:c r="F4" s="21" t="str">
        <x:v>说明</x:v>
      </x:c>
    </x:row>
    <x:row r="5" ht="72" customHeight="1">
      <x:c r="A5" s="17" t="str">
        <x:v>CMT-01</x:v>
      </x:c>
      <x:c r="B5" s="17" t="str">
        <x:v>删除“◈ 开发档案”按钮</x:v>
      </x:c>
      <x:c r="C5" s="17" t="str">
        <x:v>侧栏和设置区均不再显示该入口；旧资料改由验收表/Git保存。</x:v>
      </x:c>
      <x:c r="D5" s="17" t="str">
        <x:v>源码可达导航中无data-page=archive；最终render不处理archive。</x:v>
      </x:c>
      <x:c r="E5" s="17" t="str">
        <x:v>✅ 通过</x:v>
      </x:c>
      <x:c r="F5" s="17" t="str">
        <x:v>只删除入口，未删除历史需求证据。</x:v>
      </x:c>
    </x:row>
    <x:row r="6" ht="72" customHeight="1">
      <x:c r="A6" s="17" t="str">
        <x:v>CMT-02</x:v>
      </x:c>
      <x:c r="B6" s="17" t="str">
        <x:v>任务状态保持四状态</x:v>
      </x:c>
      <x:c r="C6" s="17" t="str">
        <x:v>任务状态页只显示未开展、进行中、已完成、完成待优化四栏。</x:v>
      </x:c>
      <x:c r="D6" s="17" t="str">
        <x:v>最终boardHTML使用STATES四项；归档嵌入已完成历史子区。</x:v>
      </x:c>
      <x:c r="E6" s="17" t="str">
        <x:v>✅ 通过</x:v>
      </x:c>
      <x:c r="F6" s="17" t="str">
        <x:v>已完成总数=当前已完成+历史完成。</x:v>
      </x:c>
    </x:row>
    <x:row r="7" ht="72" customHeight="1">
      <x:c r="A7" s="17" t="str">
        <x:v>CMT-03</x:v>
      </x:c>
      <x:c r="B7" s="17" t="str">
        <x:v>删除专项任务本地验收范围说明</x:v>
      </x:c>
      <x:c r="C7" s="17" t="str">
        <x:v>页面不再渲染special-integrated-note。</x:v>
      </x:c>
      <x:c r="D7" s="17" t="str">
        <x:v>specialTasksHTML只返回section和iframe。</x:v>
      </x:c>
      <x:c r="E7" s="17" t="str">
        <x:v>✅ 通过</x:v>
      </x:c>
      <x:c r="F7" s="17" t="str">
        <x:v>样式定义保留不影响可见页面。</x:v>
      </x:c>
    </x:row>
    <x:row r="8" ht="72" customHeight="1">
      <x:c r="A8" s="17" t="str">
        <x:v>CMT-04</x:v>
      </x:c>
      <x:c r="B8" s="17" t="str">
        <x:v>删除专项任务V1.4.1说明/历史版本行</x:v>
      </x:c>
      <x:c r="C8" s="17" t="str">
        <x:v>页面不再渲染special-integrated-head。</x:v>
      </x:c>
      <x:c r="D8" s="17" t="str">
        <x:v>specialTasksHTML不创建说明头；bindSpecial无对应按钮。</x:v>
      </x:c>
      <x:c r="E8" s="17" t="str">
        <x:v>✅ 通过</x:v>
      </x:c>
      <x:c r="F8" s="17" t="str">
        <x:v>专项原始负载仍完整保留。</x:v>
      </x:c>
    </x:row>
    <x:row r="9" ht="72" customHeight="1">
      <x:c r="A9" s="17" t="str">
        <x:v>CMT-05</x:v>
      </x:c>
      <x:c r="B9" s="17" t="str">
        <x:v>专项任务区域更大、任务增加后可见</x:v>
      </x:c>
      <x:c r="C9" s="17" t="str">
        <x:v>去掉窄版限制；iframe最小900px高，宽度填满工作区，内部继续滚动。</x:v>
      </x:c>
      <x:c r="D9" s="17" t="str">
        <x:v>CSS: max-width:none；height:max(900px,calc(100vh - 128px))。</x:v>
      </x:c>
      <x:c r="E9" s="17" t="str">
        <x:v>✅ 通过</x:v>
      </x:c>
      <x:c r="F9" s="17" t="str">
        <x:v>小屏最低780px并保留内部滚动。</x:v>
      </x:c>
    </x:row>
    <x:row r="10" ht="72" customHeight="1">
      <x:c r="A10" s="17" t="str">
        <x:v>CMT-06</x:v>
      </x:c>
      <x:c r="B10" s="17" t="str">
        <x:v>批注反馈到邮箱或GitHub</x:v>
      </x:c>
      <x:c r="C10" s="17" t="str">
        <x:v>点击提交反馈后自动汇总批注、下载TXT，并可选择预填邮箱或GitHub Issue。</x:v>
      </x:c>
      <x:c r="D10" s="17" t="str">
        <x:v>邮箱lp00102@hotmail.com；GitHub Issues: rocstarliu-crypto/do。</x:v>
      </x:c>
      <x:c r="E10" s="17" t="str">
        <x:v>◐ 安全限制</x:v>
      </x:c>
      <x:c r="F10" s="17" t="str">
        <x:v>浏览器不能在没有邮箱/GitHub凭据时静默冒用身份；用户需在目标页面做最后一次发送/提交确认。</x:v>
      </x:c>
    </x:row>
    <x:row r="11" ht="72" customHeight="1">
      <x:c r="A11" s="17" t="str">
        <x:v>CMT-07</x:v>
      </x:c>
      <x:c r="B11" s="17" t="str">
        <x:v>只使用正确V2.0基线</x:v>
      </x:c>
      <x:c r="C11" s="17" t="str">
        <x:v>工作文件和发布负载只来自正确V2.0源；Git目标库也未发现错误版本路径。</x:v>
      </x:c>
      <x:c r="D11" s="17" t="str">
        <x:v>最终源SHA-256: 4a2623dc2b4b2776a3fb4810f5e1b1c0d4431487d28ef2f0222b30032d7f7b38。</x:v>
      </x:c>
      <x:c r="E11" s="17" t="str">
        <x:v>✅ 通过</x:v>
      </x:c>
      <x:c r="F11" s="17" t="str">
        <x:v>错误版本未参与修改；Git中无对应文件可删。</x:v>
      </x:c>
    </x:row>
    <x:row r="12" ht="72" customHeight="1">
      <x:c r="A12" s="17" t="str">
        <x:v>CMT-08</x:v>
      </x:c>
      <x:c r="B12" s="17" t="str">
        <x:v>其他功能保持不动</x:v>
      </x:c>
      <x:c r="C12" s="17" t="str">
        <x:v>只修改用户点名的入口、说明、状态展示、工作区尺寸和反馈。</x:v>
      </x:c>
      <x:c r="D12" s="17" t="str">
        <x:v>专项负载SHA-256=44bd…fdd2；画布负载SHA-256=9912…c58c，均与源一致。</x:v>
      </x:c>
      <x:c r="E12" s="17" t="str">
        <x:v>✅ 通过</x:v>
      </x:c>
      <x:c r="F12" s="17" t="str">
        <x:v>未重写两个子模块。</x:v>
      </x:c>
    </x:row>
    <x:row r="13" ht="72" customHeight="1">
      <x:c r="A13" s="17" t="str">
        <x:v>CMT-09</x:v>
      </x:c>
      <x:c r="B13" s="17" t="str">
        <x:v>修复左下角/顶部云端登录</x:v>
      </x:c>
      <x:c r="C13" s="17" t="str">
        <x:v>修正Supabase内嵌库未挂到window的问题；加入V1.11稳定外部加载回退。</x:v>
      </x:c>
      <x:c r="D13" s="17" t="str">
        <x:v>内嵌库可返回createClient；页面显式启用persistSession、autoRefreshToken、detectSessionInUrl。</x:v>
      </x:c>
      <x:c r="E13" s="17" t="str">
        <x:v>◐ 代码通过；真实账号待验收</x:v>
      </x:c>
      <x:c r="F13" s="17" t="str">
        <x:v>无需用户密码即可完成结构和接口初始化验收；真实登录/确认邮件由用户在发布网址验证。</x:v>
      </x:c>
    </x:row>
    <x:row r="14" ht="72" customHeight="1">
      <x:c r="A14" s="17" t="str">
        <x:v>CMT-10</x:v>
      </x:c>
      <x:c r="B14" s="17" t="str">
        <x:v>迁入最新账号注册流程</x:v>
      </x:c>
      <x:c r="C14" s="17" t="str">
        <x:v>沿用V1.4.1：邮箱注册、确认邮件、登录、忘记密码、恢复链接、两次输入新密码、更新后保持登录。</x:v>
      </x:c>
      <x:c r="D14" s="17" t="str">
        <x:v>signUp / signInWithPassword / resetPasswordForEmail / PASSWORD_RECOVERY / updateUser均存在。</x:v>
      </x:c>
      <x:c r="E14" s="17" t="str">
        <x:v>✅ 结构通过</x:v>
      </x:c>
      <x:c r="F14" s="17" t="str">
        <x:v>未迁移与账号无关的专项项目RPC和登录历史界面。</x:v>
      </x:c>
    </x:row>
    <x:row r="15" ht="72" customHeight="1">
      <x:c r="A15" s="17" t="str">
        <x:v>CMT-11</x:v>
      </x:c>
      <x:c r="B15" s="17" t="str">
        <x:v>头脑风暴删除顶部整行</x:v>
      </x:c>
      <x:c r="C15" s="17" t="str">
        <x:v>只在头脑风暴页不渲染通用topbar，其他页面顶部不变；公共绑定改为允许该页无顶部控件。</x:v>
      </x:c>
      <x:c r="D15" s="17" t="str">
        <x:v>最终render：page==='brainstorm'直接使用brainstormHTML；bindCommon使用空值保护。</x:v>
      </x:c>
      <x:c r="E15" s="17" t="str">
        <x:v>✅ 通过</x:v>
      </x:c>
      <x:c r="F15" s="17" t="str">
        <x:v>左下角云端账号入口仍保留。</x:v>
      </x:c>
    </x:row>
    <x:row r="16" ht="72" customHeight="1">
      <x:c r="A16" s="17" t="str">
        <x:v>CMT-12</x:v>
      </x:c>
      <x:c r="B16" s="17" t="str">
        <x:v>优化头脑风暴说明并扩大画布</x:v>
      </x:c>
      <x:c r="C16" s="17" t="str">
        <x:v>用通俗一句话说明节点、层级、连线、数值、单位、配平、建议、导入导出和历史；画布最小820px高。</x:v>
      </x:c>
      <x:c r="D16" s="17" t="str">
        <x:v>brainstorm-integrated-head新文案；height:max(820px,calc(100vh - 118px))。</x:v>
      </x:c>
      <x:c r="E16" s="17" t="str">
        <x:v>✅ 通过</x:v>
      </x:c>
      <x:c r="F16" s="17" t="str">
        <x:v>没有改动V1.13内嵌负载。</x:v>
      </x:c>
    </x:row>
    <x:row r="17" ht="72" customHeight="1">
      <x:c r="A17" s="17" t="str">
        <x:v>CMT-13</x:v>
      </x:c>
      <x:c r="B17" s="17" t="str">
        <x:v>删除头脑风暴浏览器保存提示</x:v>
      </x:c>
      <x:c r="C17" s="17" t="str">
        <x:v>不再渲染brainstorm-integrated-note，把该高度让给画布。</x:v>
      </x:c>
      <x:c r="D17" s="17" t="str">
        <x:v>brainstormHTML中无该提示文本和节点。</x:v>
      </x:c>
      <x:c r="E17" s="17" t="str">
        <x:v>✅ 通过</x:v>
      </x:c>
      <x:c r="F17" s="17" t="str">
        <x:v>样式定义保留但不可见，不影响其他模块。</x:v>
      </x:c>
    </x:row>
    <x:row r="18" ht="72" customHeight="1">
      <x:c r="A18" s="17" t="str">
        <x:v>CMT-14</x:v>
      </x:c>
      <x:c r="B18" s="17" t="str">
        <x:v>重新梳理已完成/归档/完成待优化</x:v>
      </x:c>
      <x:c r="C18" s="17" t="str">
        <x:v>单独输出可核对原话、非逐字历史记录和开发推导；冲突不伪装成通过。</x:v>
      </x:c>
      <x:c r="D18" s="17" t="str">
        <x:v>新增07_状态对话追溯；冲突登记I-09。</x:v>
      </x:c>
      <x:c r="E18" s="17" t="str">
        <x:v>⚠ 冲突已标识</x:v>
      </x:c>
      <x:c r="F18" s="17" t="str">
        <x:v>已完成再次点击的行为待用户确认，本轮未修改生命周期代码。</x:v>
      </x:c>
    </x:row>
  </x:sheetData>
  <x:mergeCells>
    <x:mergeCell ref="A1:F1"/>
    <x:mergeCell ref="A2:F2"/>
  </x:mergeCells>
  <x:conditionalFormatting sqref="E5:E18">
    <x:cfRule type="containsText" dxfId="15" priority="1" operator="containsText" text="✅"/>
    <x:cfRule type="containsText" dxfId="16" priority="2" operator="containsText" text="⚠"/>
    <x:cfRule type="containsText" dxfId="17" priority="3" operator="containsText" text="◐"/>
    <x:cfRule type="containsText" dxfId="18" priority="4" operator="containsText" text="⏳"/>
    <x:cfRule type="containsText" dxfId="19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929142272e7e4a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50" hidden="0" customWidth="1"/>
    <x:col min="4" max="4" width="20" hidden="0" customWidth="1"/>
    <x:col min="5" max="5" width="48" hidden="0" customWidth="1"/>
    <x:col min="6" max="6" width="16" hidden="0" customWidth="1"/>
  </x:cols>
  <x:sheetData>
    <x:row r="1" ht="34" customHeight="1">
      <x:c r="A1" s="19" t="str">
        <x:v>冲突、未完成与后续验收</x:v>
      </x:c>
      <x:c r="B1" s="19"/>
      <x:c r="C1" s="19"/>
      <x:c r="D1" s="19"/>
      <x:c r="E1" s="19"/>
      <x:c r="F1" s="19"/>
    </x:row>
    <x:row r="2" ht="31" customHeight="1">
      <x:c r="A2" s="20" t="str">
        <x:v>未完成项不藏起来；说明它是什么、为什么没完成、如何处理以及是否阻断本次V2.0发布。</x:v>
      </x:c>
      <x:c r="B2" s="20"/>
      <x:c r="C2" s="20"/>
      <x:c r="D2" s="20"/>
      <x:c r="E2" s="20"/>
      <x:c r="F2" s="20"/>
    </x:row>
    <x:row r="3">
      <x:c r="A3" s="14"/>
      <x:c r="B3" s="14"/>
      <x:c r="C3" s="14"/>
      <x:c r="D3" s="14"/>
      <x:c r="E3" s="14"/>
      <x:c r="F3" s="14"/>
    </x:row>
    <x:row r="4" ht="30" customHeight="1">
      <x:c r="A4" s="21" t="str">
        <x:v>编号</x:v>
      </x:c>
      <x:c r="B4" s="21" t="str">
        <x:v>主题</x:v>
      </x:c>
      <x:c r="C4" s="21" t="str">
        <x:v>现状/冲突</x:v>
      </x:c>
      <x:c r="D4" s="21" t="str">
        <x:v>状态</x:v>
      </x:c>
      <x:c r="E4" s="21" t="str">
        <x:v>处理与验收方法</x:v>
      </x:c>
      <x:c r="F4" s="21" t="str">
        <x:v>是否阻断</x:v>
      </x:c>
    </x:row>
    <x:row r="5" ht="66" customHeight="1">
      <x:c r="A5" s="17" t="str">
        <x:v>I-01</x:v>
      </x:c>
      <x:c r="B5" s="17" t="str">
        <x:v>开发档案入口</x:v>
      </x:c>
      <x:c r="C5" s="17" t="str">
        <x:v>旧需求曾要求网页内展示开发档案；本次批注明确“按钮直接删除”。</x:v>
      </x:c>
      <x:c r="D5" s="17" t="str">
        <x:v>⚠ 已替代</x:v>
      </x:c>
      <x:c r="E5" s="17" t="str">
        <x:v>网页入口删除；需求原文、版本、冲突和验收转移到本表及Git历史。</x:v>
      </x:c>
      <x:c r="F5" s="17" t="str">
        <x:v>不阻断</x:v>
      </x:c>
    </x:row>
    <x:row r="6" ht="66" customHeight="1">
      <x:c r="A6" s="17" t="str">
        <x:v>I-02</x:v>
      </x:c>
      <x:c r="B6" s="17" t="str">
        <x:v>统一在线账号</x:v>
      </x:c>
      <x:c r="C6" s="17" t="str">
        <x:v>Supabase组件初始化故障已修复，注册/登录/找回密码/新密码流程已迁入；真实账号和邮件链路尚需用户端到端验证。</x:v>
      </x:c>
      <x:c r="D6" s="17" t="str">
        <x:v>⏳ 真实账号待验收</x:v>
      </x:c>
      <x:c r="E6" s="17" t="str">
        <x:v>发布后由用户使用既有账号验证登录；另用测试邮箱验证注册、确认邮件和找回密码。</x:v>
      </x:c>
      <x:c r="F6" s="17" t="str">
        <x:v>后续联机</x:v>
      </x:c>
    </x:row>
    <x:row r="7" ht="66" customHeight="1">
      <x:c r="A7" s="17" t="str">
        <x:v>I-03</x:v>
      </x:c>
      <x:c r="B7" s="17" t="str">
        <x:v>全站Excel联动</x:v>
      </x:c>
      <x:c r="C7" s="17" t="str">
        <x:v>三个模块各自导入导出能力存在；跨模块整包恢复需线上实测。</x:v>
      </x:c>
      <x:c r="D7" s="17" t="str">
        <x:v>⏳ 联机待验收</x:v>
      </x:c>
      <x:c r="E7" s="17" t="str">
        <x:v>用真实数据导出、清空、重新导入，核对三模块记录数和关键字段。</x:v>
      </x:c>
      <x:c r="F7" s="17" t="str">
        <x:v>后续联机</x:v>
      </x:c>
    </x:row>
    <x:row r="8" ht="66" customHeight="1">
      <x:c r="A8" s="17" t="str">
        <x:v>I-04</x:v>
      </x:c>
      <x:c r="B8" s="17" t="str">
        <x:v>批注静默发送</x:v>
      </x:c>
      <x:c r="C8" s="17" t="str">
        <x:v>静态网页无法在无邮箱/GitHub授权时直接代表用户发送或提交。</x:v>
      </x:c>
      <x:c r="D8" s="17" t="str">
        <x:v>◐ 安全限制</x:v>
      </x:c>
      <x:c r="E8" s="17" t="str">
        <x:v>当前自动打包TXT并预填邮件/GitHub Issue；最后一次发送/提交由用户确认。</x:v>
      </x:c>
      <x:c r="F8" s="17" t="str">
        <x:v>不阻断</x:v>
      </x:c>
    </x:row>
    <x:row r="9" ht="66" customHeight="1">
      <x:c r="A9" s="17" t="str">
        <x:v>I-05</x:v>
      </x:c>
      <x:c r="B9" s="17" t="str">
        <x:v>母线整体拖动</x:v>
      </x:c>
      <x:c r="C9" s="17" t="str">
        <x:v>画布共用母线不能像Visio一样完整整体拖动。</x:v>
      </x:c>
      <x:c r="D9" s="17" t="str">
        <x:v>◐ 部分完成</x:v>
      </x:c>
      <x:c r="E9" s="17" t="str">
        <x:v>保留V1.13现状，列入后续画布专项优化。</x:v>
      </x:c>
      <x:c r="F9" s="17" t="str">
        <x:v>不阻断</x:v>
      </x:c>
    </x:row>
    <x:row r="10" ht="66" customHeight="1">
      <x:c r="A10" s="17" t="str">
        <x:v>I-06</x:v>
      </x:c>
      <x:c r="B10" s="17" t="str">
        <x:v>自动避障</x:v>
      </x:c>
      <x:c r="C10" s="17" t="str">
        <x:v>连接线可寻路，但复杂图的完整避障/减少交叉仍不彻底。</x:v>
      </x:c>
      <x:c r="D10" s="17" t="str">
        <x:v>◐ 部分完成</x:v>
      </x:c>
      <x:c r="E10" s="17" t="str">
        <x:v>保留V1.13现状，列入后续画布专项优化。</x:v>
      </x:c>
      <x:c r="F10" s="17" t="str">
        <x:v>不阻断</x:v>
      </x:c>
    </x:row>
    <x:row r="11" ht="66" customHeight="1">
      <x:c r="A11" s="17" t="str">
        <x:v>I-07</x:v>
      </x:c>
      <x:c r="B11" s="17" t="str">
        <x:v>原生VSDX</x:v>
      </x:c>
      <x:c r="C11" s="17" t="str">
        <x:v>用户此前允许难度大时不增加原生Visio格式。</x:v>
      </x:c>
      <x:c r="D11" s="17" t="str">
        <x:v>⏸ 允许暂缓</x:v>
      </x:c>
      <x:c r="E11" s="17" t="str">
        <x:v>继续提供SVG等替代，不伪造VSDX。</x:v>
      </x:c>
      <x:c r="F11" s="17" t="str">
        <x:v>不阻断</x:v>
      </x:c>
    </x:row>
    <x:row r="12" ht="66" customHeight="1">
      <x:c r="A12" s="17" t="str">
        <x:v>I-08</x:v>
      </x:c>
      <x:c r="B12" s="17" t="str">
        <x:v>旧Smart方向</x:v>
      </x:c>
      <x:c r="C12" s="17" t="str">
        <x:v>早期下→上、右→左布局与后续“只保留左右/上下”冲突。</x:v>
      </x:c>
      <x:c r="D12" s="17" t="str">
        <x:v>⚠ 已取消</x:v>
      </x:c>
      <x:c r="E12" s="17" t="str">
        <x:v>历史保留；现行只验收左→右、上→下。</x:v>
      </x:c>
      <x:c r="F12" s="17" t="str">
        <x:v>不阻断</x:v>
      </x:c>
    </x:row>
    <x:row r="13" ht="66" customHeight="1">
      <x:c r="A13" s="17" t="str">
        <x:v>I-09</x:v>
      </x:c>
      <x:c r="B13" s="17" t="str">
        <x:v>已完成再次点击后的行为</x:v>
      </x:c>
      <x:c r="C13" s="17" t="str">
        <x:v>2026-08-26上下文要求“已完成再次点击不反应、不会自动进入完成待优化”；2026-08-31非逐字摘要却记录继续推进。</x:v>
      </x:c>
      <x:c r="D13" s="17" t="str">
        <x:v>⚠ 待用户确认</x:v>
      </x:c>
      <x:c r="E13" s="17" t="str">
        <x:v>确认后再决定：已完成保持不动，还是继续推进到完成待优化；确认前不改状态机、自动归档或复制逻辑。</x:v>
      </x:c>
      <x:c r="F13" s="17" t="str">
        <x:v>阻断该项修改，不阻断登录/UI发布</x:v>
      </x:c>
    </x:row>
  </x:sheetData>
  <x:mergeCells>
    <x:mergeCell ref="A1:F1"/>
    <x:mergeCell ref="A2:F2"/>
  </x:mergeCells>
  <x:conditionalFormatting sqref="D5:D13">
    <x:cfRule type="containsText" dxfId="20" priority="1" operator="containsText" text="✅"/>
    <x:cfRule type="containsText" dxfId="21" priority="2" operator="containsText" text="⚠"/>
    <x:cfRule type="containsText" dxfId="22" priority="3" operator="containsText" text="◐"/>
    <x:cfRule type="containsText" dxfId="23" priority="4" operator="containsText" text="⏳"/>
    <x:cfRule type="containsText" dxfId="24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94f4f523d29b4c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24" hidden="0" customWidth="1"/>
    <x:col min="5" max="5" width="26" hidden="0" customWidth="1"/>
    <x:col min="6" max="6" width="48" hidden="0" customWidth="1"/>
    <x:col min="7" max="7" width="52" hidden="0" customWidth="1"/>
    <x:col min="8" max="8" width="20" hidden="0" customWidth="1"/>
    <x:col min="9" max="9" width="48" hidden="0" customWidth="1"/>
    <x:col min="10" max="10" width="14" hidden="0" customWidth="1"/>
    <x:col min="11" max="11" width="58" hidden="0" customWidth="1"/>
    <x:col min="12" max="12" width="22" hidden="0" customWidth="1"/>
    <x:col min="13" max="13" width="15" hidden="0" customWidth="1"/>
  </x:cols>
  <x:sheetData>
    <x:row r="1" ht="34" customHeight="1">
      <x:c r="A1" s="19" t="str">
        <x:v>240条历史需求｜逐项追溯与当前验收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 ht="31" customHeight="1">
      <x:c r="A2" s="20" t="str">
        <x:v>来源：DO_融合工作台_三模块历史需求追溯与架构清单_V1.0.xlsx。保留旧要求、原文/历史记录和V2.0覆盖判断。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30" customHeight="1">
      <x:c r="A4" s="21" t="str">
        <x:v>架构ID</x:v>
      </x:c>
      <x:c r="B4" s="21" t="str">
        <x:v>模块</x:v>
      </x:c>
      <x:c r="C4" s="21" t="str">
        <x:v>一级架构</x:v>
      </x:c>
      <x:c r="D4" s="21" t="str">
        <x:v>二级模块</x:v>
      </x:c>
      <x:c r="E4" s="21" t="str">
        <x:v>三级功能</x:v>
      </x:c>
      <x:c r="F4" s="21" t="str">
        <x:v>实际需求</x:v>
      </x:c>
      <x:c r="G4" s="21" t="str">
        <x:v>功能设计</x:v>
      </x:c>
      <x:c r="H4" s="21" t="str">
        <x:v>当前结果</x:v>
      </x:c>
      <x:c r="I4" s="21" t="str">
        <x:v>当前说明</x:v>
      </x:c>
      <x:c r="J4" s="21" t="str">
        <x:v>原始序号</x:v>
      </x:c>
      <x:c r="K4" s="21" t="str">
        <x:v>对话原文/历史记录</x:v>
      </x:c>
      <x:c r="L4" s="21" t="str">
        <x:v>V2.0覆盖</x:v>
      </x:c>
      <x:c r="M4" s="21" t="str">
        <x:v>统计代码</x:v>
      </x:c>
    </x:row>
    <x:row r="5" ht="62" customHeight="1">
      <x:c r="A5" s="17" t="str">
        <x:v>PM-001</x:v>
      </x:c>
      <x:c r="B5" s="17" t="str">
        <x:v>进度管理</x:v>
      </x:c>
      <x:c r="C5" s="17" t="str">
        <x:v>V2.0最新规则与开发治理</x:v>
      </x:c>
      <x:c r="D5" s="17" t="str">
        <x:v>V2.0融合</x:v>
      </x:c>
      <x:c r="E5" s="17" t="str"/>
      <x:c r="F5" s="17" t="str">
        <x:v>把进度管理、专项任务、头脑风暴画布融合为一个网页；同时保留开发档案；先本地交付。</x:v>
      </x:c>
      <x:c r="G5" s="17" t="str">
        <x:v>V2.0采用一个外层shell、三个内部模块，file://本地启动，开发档案随版本保存。</x:v>
      </x:c>
      <x:c r="H5" s="17" t="str">
        <x:v>✅ 已核验</x:v>
      </x:c>
      <x:c r="I5" s="17" t="str">
        <x:v>三模块自动验收通过；历史逐字聊天仍有缺口，用户最终验收待确认</x:v>
      </x:c>
      <x:c r="J5" s="17" t="str">
        <x:v>R-10</x:v>
      </x:c>
      <x:c r="K5" s="17" t="str">
        <x:v>【可核对聊天原文】现在我需要你做的是，1、把目前我开发的这三个网页融合到一起。2、同时把我这三个网页之前所有开发的历史记录，ChatGPT的原始对话记录，还有软件的架构，历史的验收记录，全部梳理，并保存到里头...第1版先给我本地...</x:v>
      </x:c>
      <x:c r="L5" s="17" t="str">
        <x:v>是（V2.0）</x:v>
      </x:c>
      <x:c r="M5" s="17" t="str">
        <x:v>PASS</x:v>
      </x:c>
    </x:row>
    <x:row r="6" ht="62" customHeight="1">
      <x:c r="A6" s="17" t="str">
        <x:v>PM-002</x:v>
      </x:c>
      <x:c r="B6" s="17" t="str">
        <x:v>进度管理</x:v>
      </x:c>
      <x:c r="C6" s="17" t="str">
        <x:v>V2.0最新规则与开发治理</x:v>
      </x:c>
      <x:c r="D6" s="17" t="str">
        <x:v>全局快速创建</x:v>
      </x:c>
      <x:c r="E6" s="17" t="str"/>
      <x:c r="F6" s="17" t="str">
        <x:v>全局固定快速创建必须跨模块始终存在，不能被模块切换破坏。</x:v>
      </x:c>
      <x:c r="G6" s="17" t="str">
        <x:v>将快速输入作为外层shell固定组件，而不是各模块内部重复实现；所有页面切换均保留。</x:v>
      </x:c>
      <x:c r="H6" s="17" t="str">
        <x:v>✅ 已核验</x:v>
      </x:c>
      <x:c r="I6" s="17" t="str">
        <x:v>V2.0已回归“头脑风暴页面底部快速添加持续存在”；待用户最终确认</x:v>
      </x:c>
      <x:c r="J6" s="17" t="str">
        <x:v>R-07</x:v>
      </x:c>
      <x:c r="K6" s="17" t="str">
        <x:v>【可核对聊天原文】快速创建任务，作为页面底部固定位置一个固定的途中所示框，任意界面都可以快速添加。哪怕没有开发的头脑风暴也要添加上，后续完善后该模块后也不能影响他的功能</x:v>
      </x:c>
      <x:c r="L6" s="17" t="str">
        <x:v>是（V2.0）</x:v>
      </x:c>
      <x:c r="M6" s="17" t="str">
        <x:v>PASS</x:v>
      </x:c>
    </x:row>
    <x:row r="7" ht="62" customHeight="1">
      <x:c r="A7" s="17" t="str">
        <x:v>PM-003</x:v>
      </x:c>
      <x:c r="B7" s="17" t="str">
        <x:v>进度管理</x:v>
      </x:c>
      <x:c r="C7" s="17" t="str">
        <x:v>V2.0最新规则与开发治理</x:v>
      </x:c>
      <x:c r="D7" s="17" t="str">
        <x:v>开发档案</x:v>
      </x:c>
      <x:c r="E7" s="17" t="str"/>
      <x:c r="F7" s="17" t="str">
        <x:v>网页开发过程本身要可追溯：需求原文、版本、修改、问题、效果、验收都要形成档案。</x:v>
      </x:c>
      <x:c r="G7" s="17" t="str">
        <x:v>建立开发档案/需求追踪矩阵，保留冲突需求和版本关联，不伪造缺失逐字聊天。</x:v>
      </x:c>
      <x:c r="H7" s="17" t="str">
        <x:v>⚠ 已替代</x:v>
      </x:c>
      <x:c r="I7" s="17" t="str">
        <x:v>2026-09-02批注要求删除网页内“开发档案”入口；追溯资料改由本验收表与Git版本保留。</x:v>
      </x:c>
      <x:c r="J7" s="17" t="str">
        <x:v>R-09</x:v>
      </x:c>
      <x:c r="K7" s="17" t="str">
        <x:v>【可核对聊天原文】你的任务：1、把这个网页需要修改完善的地方，以及后续需要增加的功能，全部记录下来。2、把对话中我提出的开发需求原文，全部记下来，一个不漏。3、将网页过去每次的修改过程，全部记录下来。4、把每次的修改，对应解决了什么问题，达到什么效果，全部记录下来。5、把每次修改前后的版本，全部记录下来。这个工作平台以后相当于我的软件开发记录员。请按要求重新设计。</x:v>
      </x:c>
      <x:c r="L7" s="17" t="str">
        <x:v>部分</x:v>
      </x:c>
      <x:c r="M7" s="17" t="str">
        <x:v>SUPERSEDED</x:v>
      </x:c>
    </x:row>
    <x:row r="8" ht="62" customHeight="1">
      <x:c r="A8" s="17" t="str">
        <x:v>PM-004</x:v>
      </x:c>
      <x:c r="B8" s="17" t="str">
        <x:v>进度管理</x:v>
      </x:c>
      <x:c r="C8" s="17" t="str">
        <x:v>V2.0最新规则与开发治理</x:v>
      </x:c>
      <x:c r="D8" s="17" t="str">
        <x:v>开发过程/发布</x:v>
      </x:c>
      <x:c r="E8" s="17" t="str"/>
      <x:c r="F8" s="17" t="str">
        <x:v>交付的新版本必须能被用户明确识别，避免旧页面/缓存/错误链接导致“看起来没变化”。</x:v>
      </x:c>
      <x:c r="G8" s="17" t="str">
        <x:v>版本号、文件名、发布路径、缓存与页面标识必须形成可验证的发布闭环。</x:v>
      </x:c>
      <x:c r="H8" s="17" t="str">
        <x:v>✅ 已核验</x:v>
      </x:c>
      <x:c r="I8" s="17" t="str">
        <x:v>正确版本固定为V2.0；按“本地验收→GitHub发布”流程执行。</x:v>
      </x:c>
      <x:c r="J8" s="17" t="str">
        <x:v>R-01</x:v>
      </x:c>
      <x:c r="K8" s="17" t="str">
        <x:v>【可核对聊天原文】打开后依然还是原来的网页，没有任何变化</x:v>
      </x:c>
      <x:c r="L8" s="17" t="str">
        <x:v>不适用（开发过程控制）</x:v>
      </x:c>
      <x:c r="M8" s="17" t="str">
        <x:v>PASS</x:v>
      </x:c>
    </x:row>
    <x:row r="9" ht="62" customHeight="1">
      <x:c r="A9" s="17" t="str">
        <x:v>PM-005</x:v>
      </x:c>
      <x:c r="B9" s="17" t="str">
        <x:v>进度管理</x:v>
      </x:c>
      <x:c r="C9" s="17" t="str">
        <x:v>V2.0最新规则与开发治理</x:v>
      </x:c>
      <x:c r="D9" s="17" t="str">
        <x:v>归档/数量/框架</x:v>
      </x:c>
      <x:c r="E9" s="17" t="str"/>
      <x:c r="F9" s="17" t="str">
        <x:v>归档是“已完成”的子集，不是额外任务；常规视图隐藏归档；保留上一版框架。</x:v>
      </x:c>
      <x:c r="G9" s="17" t="str">
        <x:v>已完成总数 = 待归档完成 + 已归档；归档卡片仅状态页简显；主框架沿用V1.11。</x:v>
      </x:c>
      <x:c r="H9" s="17" t="str">
        <x:v>✅ 已核验</x:v>
      </x:c>
      <x:c r="I9" s="17" t="str">
        <x:v>自动验收通过；用户最终验收待确认</x:v>
      </x:c>
      <x:c r="J9" s="17" t="str">
        <x:v>R-06</x:v>
      </x:c>
      <x:c r="K9" s="17" t="str">
        <x:v>【可核对聊天原文】进度管理中不显示归档、之后历史未安排，逻辑是归档都属于已完成，归档仅在任务状态栏中简要展示，框架网页设计参照还是上一版本的吧，但是要注意完成的任务数量的对应关系，务必对应。</x:v>
      </x:c>
      <x:c r="L9" s="17" t="str">
        <x:v>是（V2.0最新规则）</x:v>
      </x:c>
      <x:c r="M9" s="17" t="str">
        <x:v>PASS</x:v>
      </x:c>
    </x:row>
    <x:row r="10" ht="62" customHeight="1">
      <x:c r="A10" s="17" t="str">
        <x:v>PM-006</x:v>
      </x:c>
      <x:c r="B10" s="17" t="str">
        <x:v>进度管理</x:v>
      </x:c>
      <x:c r="C10" s="17" t="str">
        <x:v>V2.0最新规则与开发治理</x:v>
      </x:c>
      <x:c r="D10" s="17" t="str">
        <x:v>归档展示逻辑</x:v>
      </x:c>
      <x:c r="E10" s="17" t="str"/>
      <x:c r="F10" s="17" t="str">
        <x:v>归档不应在我的一天/计划内/全部任务/日程重复出现，也不应人为追加“之后/历史/未安排”块；归档只在任务状态页简要体现。</x:v>
      </x:c>
      <x:c r="G10" s="17" t="str">
        <x:v>常规四视图过滤archive；状态页单独展示归档子集；禁止额外历史/未安排日期分区。</x:v>
      </x:c>
      <x:c r="H10" s="17" t="str">
        <x:v>✅ 已核验</x:v>
      </x:c>
      <x:c r="I10" s="17" t="str">
        <x:v>V2.0自动验收已检查；用户最终验收待确认</x:v>
      </x:c>
      <x:c r="J10" s="17" t="str">
        <x:v>R-04</x:v>
      </x:c>
      <x:c r="K10" s="17" t="str">
        <x:v>【可核对聊天原文】融合到这里头之后，归档和完成待优化，以及进行中未开展，这5个是不是只在任务状态这一栏里有体现？比如说全部任务里面没有归档，没有后面的，就是没有类似的归档、之后、历史日期、未安排这些，只需要有这个分类就行。你明确回答我。</x:v>
      </x:c>
      <x:c r="L10" s="17" t="str">
        <x:v>是（V2.0最新规则）</x:v>
      </x:c>
      <x:c r="M10" s="17" t="str">
        <x:v>PASS</x:v>
      </x:c>
    </x:row>
    <x:row r="11" ht="62" customHeight="1">
      <x:c r="A11" s="17" t="str">
        <x:v>PM-007</x:v>
      </x:c>
      <x:c r="B11" s="17" t="str">
        <x:v>进度管理</x:v>
      </x:c>
      <x:c r="C11" s="17" t="str">
        <x:v>V2.0最新规则与开发治理</x:v>
      </x:c>
      <x:c r="D11" s="17" t="str">
        <x:v>数据模型/五视图一致性</x:v>
      </x:c>
      <x:c r="E11" s="17" t="str"/>
      <x:c r="F11" s="17" t="str">
        <x:v>同一任务只能有一条真实数据记录，五个视图只是同一任务的不同投影，数量和状态必须一致。</x:v>
      </x:c>
      <x:c r="G11" s="17" t="str">
        <x:v>建立唯一任务ID/单一数据源；五视图都从同一state.tasks派生，禁止复制成多条任务。</x:v>
      </x:c>
      <x:c r="H11" s="17" t="str">
        <x:v>✅ 已核验</x:v>
      </x:c>
      <x:c r="I11" s="17" t="str">
        <x:v>V2.0已有自动回归；仍待用户按实际数据逐项人工核对</x:v>
      </x:c>
      <x:c r="J11" s="17" t="str">
        <x:v>R-03</x:v>
      </x:c>
      <x:c r="K11" s="17" t="str">
        <x:v>【可核对聊天原文】我的一天、、 计划内、、 全部任务、、 日程、、  任务状态、。一个任务始终就是一条，不管什么状态（开展、进行中、已完成的），必须会在以上5个模块中显示这是最根本的逻辑，为什么经常性的会不一致呢，这是很严重的问题。</x:v>
      </x:c>
      <x:c r="L11" s="17" t="str">
        <x:v>是（V2.0核心）</x:v>
      </x:c>
      <x:c r="M11" s="17" t="str">
        <x:v>PASS</x:v>
      </x:c>
    </x:row>
    <x:row r="12" ht="62" customHeight="1">
      <x:c r="A12" s="17" t="str">
        <x:v>PM-008</x:v>
      </x:c>
      <x:c r="B12" s="17" t="str">
        <x:v>进度管理</x:v>
      </x:c>
      <x:c r="C12" s="17" t="str">
        <x:v>V2.0最新规则与开发治理</x:v>
      </x:c>
      <x:c r="D12" s="17" t="str">
        <x:v>数量口径</x:v>
      </x:c>
      <x:c r="E12" s="17" t="str"/>
      <x:c r="F12" s="17" t="str">
        <x:v>必须给出并保持各视图数量关系可解释，尤其任务状态五项与总任务之间不能重复计数。</x:v>
      </x:c>
      <x:c r="G12" s="17" t="str">
        <x:v>建立统一数量口径；任务状态按生命周期子集计数；各视图按筛选条件从唯一任务集合计算。</x:v>
      </x:c>
      <x:c r="H12" s="17" t="str">
        <x:v>✅ 已核验</x:v>
      </x:c>
      <x:c r="I12" s="17" t="str">
        <x:v>V2.0已做完成/归档恒等式自动测试；复杂用户数据仍需人工核对</x:v>
      </x:c>
      <x:c r="J12" s="17" t="str">
        <x:v>R-05</x:v>
      </x:c>
      <x:c r="K12" s="17" t="str">
        <x:v>【可核对聊天原文】我举个例子，你这个网页，比如说总共有100个任务，他的我的一天里面是多少个？计划内是多少个？全部任务是多少个？日程是多少个？任务状态里面的五项明细分别是多少个，总数是多少个？</x:v>
      </x:c>
      <x:c r="L12" s="17" t="str">
        <x:v>是（V2.0最新规则）</x:v>
      </x:c>
      <x:c r="M12" s="17" t="str">
        <x:v>PASS</x:v>
      </x:c>
    </x:row>
    <x:row r="13" ht="62" customHeight="1">
      <x:c r="A13" s="17" t="str">
        <x:v>PM-009</x:v>
      </x:c>
      <x:c r="B13" s="17" t="str">
        <x:v>进度管理</x:v>
      </x:c>
      <x:c r="C13" s="17" t="str">
        <x:v>V2.0最新规则与开发治理</x:v>
      </x:c>
      <x:c r="D13" s="17" t="str">
        <x:v>版本与验收</x:v>
      </x:c>
      <x:c r="E13" s="17" t="str"/>
      <x:c r="F13" s="17" t="str">
        <x:v>开发顺序必须先本地验收，再发布GitHub。</x:v>
      </x:c>
      <x:c r="G13" s="17" t="str">
        <x:v>V2.0先交付file://本地版，发布动作延后。</x:v>
      </x:c>
      <x:c r="H13" s="17" t="str">
        <x:v>✅ 已核验</x:v>
      </x:c>
      <x:c r="I13" s="17" t="str">
        <x:v>正确版本固定为V2.0；按“本地验收→GitHub发布”流程执行。</x:v>
      </x:c>
      <x:c r="J13" s="17" t="str">
        <x:v>R-02</x:v>
      </x:c>
      <x:c r="K13" s="17" t="str">
        <x:v>【可核对聊天原文】先给我生成一个本地版本的，不要更新 GitHub，等我本地调用差不多了，你再更新 GitHub。</x:v>
      </x:c>
      <x:c r="L13" s="17" t="str">
        <x:v>是（开发流程）</x:v>
      </x:c>
      <x:c r="M13" s="17" t="str">
        <x:v>PASS</x:v>
      </x:c>
    </x:row>
    <x:row r="14" ht="62" customHeight="1">
      <x:c r="A14" s="17" t="str">
        <x:v>PM-010</x:v>
      </x:c>
      <x:c r="B14" s="17" t="str">
        <x:v>进度管理</x:v>
      </x:c>
      <x:c r="C14" s="17" t="str">
        <x:v>V2.0最新规则与开发治理</x:v>
      </x:c>
      <x:c r="D14" s="17" t="str">
        <x:v>融合/账号</x:v>
      </x:c>
      <x:c r="E14" s="17" t="str"/>
      <x:c r="F14" s="17" t="str">
        <x:v>专项任务和画布不能重写成简化版，必须完整迁移；联机后统一一个既有账号体系。</x:v>
      </x:c>
      <x:c r="G14" s="17" t="str">
        <x:v>V2.0内嵌V1.4.1和V1.13完整负载；本地无需账号；联机发布时由外层DO账号统一授权。</x:v>
      </x:c>
      <x:c r="H14" s="17" t="str">
        <x:v>⏳ 联机待验收</x:v>
      </x:c>
      <x:c r="I14" s="17" t="str">
        <x:v>本地完整迁移已自动验收；统一账号的真实联机流程仍待发布阶段测试</x:v>
      </x:c>
      <x:c r="J14" s="17" t="str">
        <x:v>R-11</x:v>
      </x:c>
      <x:c r="K14" s="17" t="str">
        <x:v>【可核对聊天原文】你只需要把代码完全迁移过来，账号的融合到一块就可以了。就是一个整个网页只有一个账号。这个账号也就是以前我设置的这个原账号。</x:v>
      </x:c>
      <x:c r="L14" s="17" t="str">
        <x:v>联机阶段</x:v>
      </x:c>
      <x:c r="M14" s="17" t="str">
        <x:v>ONLINE</x:v>
      </x:c>
    </x:row>
    <x:row r="15" ht="62" customHeight="1">
      <x:c r="A15" s="17" t="str">
        <x:v>PM-011</x:v>
      </x:c>
      <x:c r="B15" s="17" t="str">
        <x:v>进度管理</x:v>
      </x:c>
      <x:c r="C15" s="17" t="str">
        <x:v>V2.0最新规则与开发治理</x:v>
      </x:c>
      <x:c r="D15" s="17" t="str">
        <x:v>设置/帮助</x:v>
      </x:c>
      <x:c r="E15" s="17" t="str"/>
      <x:c r="F15" s="17" t="str">
        <x:v>字体设置要分组、可实时预览；提供极简使用说明。</x:v>
      </x:c>
      <x:c r="G15" s="17" t="str">
        <x:v>字体设置按区域分组，A-/A+/数值实时预览，取消恢复；设置下增加4条简要说明。</x:v>
      </x:c>
      <x:c r="H15" s="17" t="str">
        <x:v>✅ 已核验</x:v>
      </x:c>
      <x:c r="I15" s="17" t="str">
        <x:v>自动回归通过；待用户人工视觉验收</x:v>
      </x:c>
      <x:c r="J15" s="17" t="str">
        <x:v>R-08</x:v>
      </x:c>
      <x:c r="K15" s="17" t="str">
        <x:v>【可核对聊天原文】设置中的字体设置太乱了，分类优化，不支持实时生效优化，看看在哪里做一个该网页的使用说明。简要的几句话就说明白，最主要的就是简单</x:v>
      </x:c>
      <x:c r="L15" s="17" t="str">
        <x:v>是（V2.0）</x:v>
      </x:c>
      <x:c r="M15" s="17" t="str">
        <x:v>PASS</x:v>
      </x:c>
    </x:row>
    <x:row r="16" ht="62" customHeight="1">
      <x:c r="A16" s="17" t="str">
        <x:v>PM-012</x:v>
      </x:c>
      <x:c r="B16" s="17" t="str">
        <x:v>进度管理</x:v>
      </x:c>
      <x:c r="C16" s="17" t="str">
        <x:v>V2.0最新规则与开发治理</x:v>
      </x:c>
      <x:c r="D16" s="17" t="str">
        <x:v>需求追踪/冲突</x:v>
      </x:c>
      <x:c r="E16" s="17" t="str"/>
      <x:c r="F16" s="17" t="str">
        <x:v>所有历史要求必须可见，允许前后冲突和废止，但不能因为不满足就删除历史。</x:v>
      </x:c>
      <x:c r="G16" s="17" t="str">
        <x:v>需求台账增加状态/冲突/替代/取消字段；现行V2只采纳最新有效规则，旧需求保留追溯。</x:v>
      </x:c>
      <x:c r="H16" s="17" t="str">
        <x:v>✅ 已核验</x:v>
      </x:c>
      <x:c r="I16" s="17" t="str">
        <x:v>结构已设计；本次Excel是进一步完善后的正式追溯清单</x:v>
      </x:c>
      <x:c r="J16" s="17" t="str">
        <x:v>R-12</x:v>
      </x:c>
      <x:c r="K16" s="17" t="str">
        <x:v>【可核对聊天原文】我说的需求全覆盖，不一定我说的需求全部满足...有可能我说的需求前后有冲突...但是你历史架构中体现是可以。</x:v>
      </x:c>
      <x:c r="L16" s="17" t="str">
        <x:v>是（开发档案）</x:v>
      </x:c>
      <x:c r="M16" s="17" t="str">
        <x:v>PASS</x:v>
      </x:c>
    </x:row>
    <x:row r="17" ht="62" customHeight="1">
      <x:c r="A17" s="17" t="str">
        <x:v>PM-013</x:v>
      </x:c>
      <x:c r="B17" s="17" t="str">
        <x:v>进度管理</x:v>
      </x:c>
      <x:c r="C17" s="17" t="str">
        <x:v>产品与页面框架</x:v>
      </x:c>
      <x:c r="D17" s="17" t="str">
        <x:v>整体/导航</x:v>
      </x:c>
      <x:c r="E17" s="17" t="str">
        <x:v>五个主页面</x:v>
      </x:c>
      <x:c r="F17" s="17" t="str">
        <x:v>固定为“今天 / 全部任务 / 日程 / 四状态 / 工作日志”。</x:v>
      </x:c>
      <x:c r="G17" s="17" t="str">
        <x:v>后续扩展/重命名，现行V2.0主壳含我的一天、计划内、全部任务、日程、任务状态等，并融合专项任务、头脑风暴。</x:v>
      </x:c>
      <x:c r="H17" s="17" t="str">
        <x:v>⚠ 已替代/取消</x:v>
      </x:c>
      <x:c r="I17" s="17" t="str">
        <x:v>与后续更新需求冲突或被重新定义，保留历史但不作为V2.0现行验收目标</x:v>
      </x:c>
      <x:c r="J17" s="17" t="str">
        <x:v>1-02</x:v>
      </x:c>
      <x:c r="K17" s="17" t="str">
        <x:v>【历史需求记录；非逐字聊天原文】固定为“今天 / 全部任务 / 日程 / 四状态 / 工作日志”。</x:v>
      </x:c>
      <x:c r="L17" s="17" t="str">
        <x:v>否/部分（由后续需求替代）</x:v>
      </x:c>
      <x:c r="M17" s="17" t="str">
        <x:v>SUPERSEDED</x:v>
      </x:c>
    </x:row>
    <x:row r="18" ht="62" customHeight="1">
      <x:c r="A18" s="17" t="str">
        <x:v>PM-014</x:v>
      </x:c>
      <x:c r="B18" s="17" t="str">
        <x:v>进度管理</x:v>
      </x:c>
      <x:c r="C18" s="17" t="str">
        <x:v>产品与页面框架</x:v>
      </x:c>
      <x:c r="D18" s="17" t="str">
        <x:v>整体/导航</x:v>
      </x:c>
      <x:c r="E18" s="17" t="str">
        <x:v>响应式</x:v>
      </x:c>
      <x:c r="F18" s="17" t="str">
        <x:v>窗口尺寸变化后页面自动适应。</x:v>
      </x:c>
      <x:c r="G18" s="17" t="str">
        <x:v>CSS响应式布局，避免固定宽度造成遮挡。</x:v>
      </x:c>
      <x:c r="H18" s="17" t="str">
        <x:v>✅ 已核验</x:v>
      </x:c>
      <x:c r="I18" s="17" t="str">
        <x:v>已有历史/自动验收证据；V2.0仍待用户逐项人工确认</x:v>
      </x:c>
      <x:c r="J18" s="17" t="str">
        <x:v>1-15</x:v>
      </x:c>
      <x:c r="K18" s="17" t="str">
        <x:v>【历史需求记录；非逐字聊天原文】窗口尺寸变化后页面自动适应。</x:v>
      </x:c>
      <x:c r="L18" s="17" t="str">
        <x:v>是（继承/调整后保留）</x:v>
      </x:c>
      <x:c r="M18" s="17" t="str">
        <x:v>PASS</x:v>
      </x:c>
    </x:row>
    <x:row r="19" ht="62" customHeight="1">
      <x:c r="A19" s="17" t="str">
        <x:v>PM-015</x:v>
      </x:c>
      <x:c r="B19" s="17" t="str">
        <x:v>进度管理</x:v>
      </x:c>
      <x:c r="C19" s="17" t="str">
        <x:v>产品与页面框架</x:v>
      </x:c>
      <x:c r="D19" s="17" t="str">
        <x:v>整体/导航</x:v>
      </x:c>
      <x:c r="E19" s="17" t="str">
        <x:v>四状态统计卡</x:v>
      </x:c>
      <x:c r="F19" s="17" t="str">
        <x:v>页面顶部显示未开展/进行中/已完成/完成待优化数量。</x:v>
      </x:c>
      <x:c r="G19" s="17" t="str">
        <x:v>后续职责重构，不再要求所有页面重复顶部统计卡。</x:v>
      </x:c>
      <x:c r="H19" s="17" t="str">
        <x:v>⚠ 已替代/取消</x:v>
      </x:c>
      <x:c r="I19" s="17" t="str">
        <x:v>与后续更新需求冲突或被重新定义，保留历史但不作为V2.0现行验收目标</x:v>
      </x:c>
      <x:c r="J19" s="17" t="str">
        <x:v>1-12</x:v>
      </x:c>
      <x:c r="K19" s="17" t="str">
        <x:v>【历史需求记录；非逐字聊天原文】页面顶部显示未开展/进行中/已完成/完成待优化数量。</x:v>
      </x:c>
      <x:c r="L19" s="17" t="str">
        <x:v>否/部分（由后续需求替代）</x:v>
      </x:c>
      <x:c r="M19" s="17" t="str">
        <x:v>SUPERSEDED</x:v>
      </x:c>
    </x:row>
    <x:row r="20" ht="62" customHeight="1">
      <x:c r="A20" s="17" t="str">
        <x:v>PM-016</x:v>
      </x:c>
      <x:c r="B20" s="17" t="str">
        <x:v>进度管理</x:v>
      </x:c>
      <x:c r="C20" s="17" t="str">
        <x:v>产品与页面框架</x:v>
      </x:c>
      <x:c r="D20" s="17" t="str">
        <x:v>整体/导航</x:v>
      </x:c>
      <x:c r="E20" s="17" t="str">
        <x:v>无优先级</x:v>
      </x:c>
      <x:c r="F20" s="17" t="str">
        <x:v>不需要优先级、普通优先级或星标。</x:v>
      </x:c>
      <x:c r="G20" s="17" t="str">
        <x:v>数据模型不设置priority/star字段。</x:v>
      </x:c>
      <x:c r="H20" s="17" t="str">
        <x:v>✅ 已核验</x:v>
      </x:c>
      <x:c r="I20" s="17" t="str">
        <x:v>已有历史/自动验收证据；V2.0仍待用户逐项人工确认</x:v>
      </x:c>
      <x:c r="J20" s="17" t="str">
        <x:v>1-13</x:v>
      </x:c>
      <x:c r="K20" s="17" t="str">
        <x:v>【历史需求记录；非逐字聊天原文】不需要优先级、普通优先级或星标。</x:v>
      </x:c>
      <x:c r="L20" s="17" t="str">
        <x:v>是（继承/调整后保留）</x:v>
      </x:c>
      <x:c r="M20" s="17" t="str">
        <x:v>PASS</x:v>
      </x:c>
    </x:row>
    <x:row r="21" ht="62" customHeight="1">
      <x:c r="A21" s="17" t="str">
        <x:v>PM-017</x:v>
      </x:c>
      <x:c r="B21" s="17" t="str">
        <x:v>进度管理</x:v>
      </x:c>
      <x:c r="C21" s="17" t="str">
        <x:v>产品与页面框架</x:v>
      </x:c>
      <x:c r="D21" s="17" t="str">
        <x:v>整体/导航</x:v>
      </x:c>
      <x:c r="E21" s="17" t="str">
        <x:v>网站名称</x:v>
      </x:c>
      <x:c r="F21" s="17" t="str">
        <x:v>网站名称可修改。</x:v>
      </x:c>
      <x:c r="G21" s="17" t="str">
        <x:v>品牌名称/标题进入设置并持久化。</x:v>
      </x:c>
      <x:c r="H21" s="17" t="str">
        <x:v>✅ 已核验</x:v>
      </x:c>
      <x:c r="I21" s="17" t="str">
        <x:v>已有历史/自动验收证据；V2.0仍待用户逐项人工确认</x:v>
      </x:c>
      <x:c r="J21" s="17" t="str">
        <x:v>1-03</x:v>
      </x:c>
      <x:c r="K21" s="17" t="str">
        <x:v>【历史需求记录；非逐字聊天原文】网站名称可修改。</x:v>
      </x:c>
      <x:c r="L21" s="17" t="str">
        <x:v>是（继承/调整后保留）</x:v>
      </x:c>
      <x:c r="M21" s="17" t="str">
        <x:v>PASS</x:v>
      </x:c>
    </x:row>
    <x:row r="22" ht="62" customHeight="1">
      <x:c r="A22" s="17" t="str">
        <x:v>PM-018</x:v>
      </x:c>
      <x:c r="B22" s="17" t="str">
        <x:v>进度管理</x:v>
      </x:c>
      <x:c r="C22" s="17" t="str">
        <x:v>产品与页面框架</x:v>
      </x:c>
      <x:c r="D22" s="17" t="str">
        <x:v>整体/导航</x:v>
      </x:c>
      <x:c r="E22" s="17" t="str">
        <x:v>网站定位</x:v>
      </x:c>
      <x:c r="F22" s="17" t="str">
        <x:v>Idea Task Hub = “进度管理 / 任务与工作日志”，只做轻量任务、日程和日志工作台。</x:v>
      </x:c>
      <x:c r="G22" s="17" t="str">
        <x:v>保持轻量工作台定位，同时可作为融合主壳承载专项任务与头脑风暴。</x:v>
      </x:c>
      <x:c r="H22" s="17" t="str">
        <x:v>✅ 已核验</x:v>
      </x:c>
      <x:c r="I22" s="17" t="str">
        <x:v>已有历史/自动验收证据；V2.0仍待用户逐项人工确认</x:v>
      </x:c>
      <x:c r="J22" s="17" t="str">
        <x:v>1-01</x:v>
      </x:c>
      <x:c r="K22" s="17" t="str">
        <x:v>【历史需求记录；非逐字聊天原文】Idea Task Hub = “进度管理 / 任务与工作日志”，只做轻量任务、日程和日志工作台。</x:v>
      </x:c>
      <x:c r="L22" s="17" t="str">
        <x:v>是（继承/调整后保留）</x:v>
      </x:c>
      <x:c r="M22" s="17" t="str">
        <x:v>PASS</x:v>
      </x:c>
    </x:row>
    <x:row r="23" ht="62" customHeight="1">
      <x:c r="A23" s="17" t="str">
        <x:v>PM-019</x:v>
      </x:c>
      <x:c r="B23" s="17" t="str">
        <x:v>进度管理</x:v>
      </x:c>
      <x:c r="C23" s="17" t="str">
        <x:v>产品与页面框架</x:v>
      </x:c>
      <x:c r="D23" s="17" t="str">
        <x:v>通用交互</x:v>
      </x:c>
      <x:c r="E23" s="17" t="str">
        <x:v>今日数量</x:v>
      </x:c>
      <x:c r="F23" s="17" t="str">
        <x:v>当天任务数量要一眼可见。</x:v>
      </x:c>
      <x:c r="G23" s="17" t="str">
        <x:v>我的一天显示当日任务数量。</x:v>
      </x:c>
      <x:c r="H23" s="17" t="str">
        <x:v>✅ 已核验</x:v>
      </x:c>
      <x:c r="I23" s="17" t="str">
        <x:v>已有历史/自动验收证据；V2.0仍待用户逐项人工确认</x:v>
      </x:c>
      <x:c r="J23" s="17" t="str">
        <x:v>1-10</x:v>
      </x:c>
      <x:c r="K23" s="17" t="str">
        <x:v>【历史需求记录；非逐字聊天原文】当天任务数量要一眼可见。</x:v>
      </x:c>
      <x:c r="L23" s="17" t="str">
        <x:v>是（继承/调整后保留）</x:v>
      </x:c>
      <x:c r="M23" s="17" t="str">
        <x:v>PASS</x:v>
      </x:c>
    </x:row>
    <x:row r="24" ht="62" customHeight="1">
      <x:c r="A24" s="17" t="str">
        <x:v>PM-020</x:v>
      </x:c>
      <x:c r="B24" s="17" t="str">
        <x:v>进度管理</x:v>
      </x:c>
      <x:c r="C24" s="17" t="str">
        <x:v>产品与页面框架</x:v>
      </x:c>
      <x:c r="D24" s="17" t="str">
        <x:v>通用交互</x:v>
      </x:c>
      <x:c r="E24" s="17" t="str">
        <x:v>任务单行显示</x:v>
      </x:c>
      <x:c r="F24" s="17" t="str">
        <x:v>任务列表保持简洁，每项主要内容一行展示。</x:v>
      </x:c>
      <x:c r="G24" s="17" t="str">
        <x:v>紧凑列表；必要元信息放第二行且按存在字段动态显示。</x:v>
      </x:c>
      <x:c r="H24" s="17" t="str">
        <x:v>✅ 已核验</x:v>
      </x:c>
      <x:c r="I24" s="17" t="str">
        <x:v>已有历史/自动验收证据；V2.0仍待用户逐项人工确认</x:v>
      </x:c>
      <x:c r="J24" s="17" t="str">
        <x:v>1-11</x:v>
      </x:c>
      <x:c r="K24" s="17" t="str">
        <x:v>【历史需求记录；非逐字聊天原文】任务列表保持简洁，每项主要内容一行展示。</x:v>
      </x:c>
      <x:c r="L24" s="17" t="str">
        <x:v>是（继承/调整后保留）</x:v>
      </x:c>
      <x:c r="M24" s="17" t="str">
        <x:v>PASS</x:v>
      </x:c>
    </x:row>
    <x:row r="25" ht="62" customHeight="1">
      <x:c r="A25" s="17" t="str">
        <x:v>PM-021</x:v>
      </x:c>
      <x:c r="B25" s="17" t="str">
        <x:v>进度管理</x:v>
      </x:c>
      <x:c r="C25" s="17" t="str">
        <x:v>产品与页面框架</x:v>
      </x:c>
      <x:c r="D25" s="17" t="str">
        <x:v>通用交互</x:v>
      </x:c>
      <x:c r="E25" s="17" t="str">
        <x:v>全局搜索</x:v>
      </x:c>
      <x:c r="F25" s="17" t="str">
        <x:v>搜索范围覆盖任务、子任务和日志。</x:v>
      </x:c>
      <x:c r="G25" s="17" t="str">
        <x:v>建立跨任务、子任务、日志的全文搜索索引/过滤。</x:v>
      </x:c>
      <x:c r="H25" s="17" t="str">
        <x:v>✅ 已核验</x:v>
      </x:c>
      <x:c r="I25" s="17" t="str">
        <x:v>已有历史/自动验收证据；V2.0仍待用户逐项人工确认</x:v>
      </x:c>
      <x:c r="J25" s="17" t="str">
        <x:v>1-04</x:v>
      </x:c>
      <x:c r="K25" s="17" t="str">
        <x:v>【历史需求记录；非逐字聊天原文】搜索范围覆盖任务、子任务和日志。</x:v>
      </x:c>
      <x:c r="L25" s="17" t="str">
        <x:v>是（继承/调整后保留）</x:v>
      </x:c>
      <x:c r="M25" s="17" t="str">
        <x:v>PASS</x:v>
      </x:c>
    </x:row>
    <x:row r="26" ht="62" customHeight="1">
      <x:c r="A26" s="17" t="str">
        <x:v>PM-022</x:v>
      </x:c>
      <x:c r="B26" s="17" t="str">
        <x:v>进度管理</x:v>
      </x:c>
      <x:c r="C26" s="17" t="str">
        <x:v>产品与页面框架</x:v>
      </x:c>
      <x:c r="D26" s="17" t="str">
        <x:v>通用交互</x:v>
      </x:c>
      <x:c r="E26" s="17" t="str">
        <x:v>快捷键</x:v>
      </x:c>
      <x:c r="F26" s="17" t="str">
        <x:v>Alt+A 快速定位到添加任务。</x:v>
      </x:c>
      <x:c r="G26" s="17" t="str">
        <x:v>监听Alt+A并聚焦快速创建输入框。</x:v>
      </x:c>
      <x:c r="H26" s="17" t="str">
        <x:v>✅ 已核验</x:v>
      </x:c>
      <x:c r="I26" s="17" t="str">
        <x:v>已有历史/自动验收证据；V2.0仍待用户逐项人工确认</x:v>
      </x:c>
      <x:c r="J26" s="17" t="str">
        <x:v>1-07</x:v>
      </x:c>
      <x:c r="K26" s="17" t="str">
        <x:v>【历史需求记录；非逐字聊天原文】Alt+A 快速定位到添加任务。</x:v>
      </x:c>
      <x:c r="L26" s="17" t="str">
        <x:v>是（继承/调整后保留）</x:v>
      </x:c>
      <x:c r="M26" s="17" t="str">
        <x:v>PASS</x:v>
      </x:c>
    </x:row>
    <x:row r="27" ht="62" customHeight="1">
      <x:c r="A27" s="17" t="str">
        <x:v>PM-023</x:v>
      </x:c>
      <x:c r="B27" s="17" t="str">
        <x:v>进度管理</x:v>
      </x:c>
      <x:c r="C27" s="17" t="str">
        <x:v>产品与页面框架</x:v>
      </x:c>
      <x:c r="D27" s="17" t="str">
        <x:v>通用交互</x:v>
      </x:c>
      <x:c r="E27" s="17" t="str">
        <x:v>快速添加</x:v>
      </x:c>
      <x:c r="F27" s="17" t="str">
        <x:v>参照 To Do，在任务列表底部直接输入并按 Enter 创建，不使用复杂弹窗。</x:v>
      </x:c>
      <x:c r="G27" s="17" t="str">
        <x:v>列表底部提供轻量输入框，Enter直接创建。</x:v>
      </x:c>
      <x:c r="H27" s="17" t="str">
        <x:v>✅ 已核验</x:v>
      </x:c>
      <x:c r="I27" s="17" t="str">
        <x:v>已有历史/自动验收证据；V2.0仍待用户逐项人工确认</x:v>
      </x:c>
      <x:c r="J27" s="17" t="str">
        <x:v>1-05</x:v>
      </x:c>
      <x:c r="K27" s="17" t="str">
        <x:v>【历史需求记录；非逐字聊天原文】参照 To Do，在任务列表底部直接输入并按 Enter 创建，不使用复杂弹窗。</x:v>
      </x:c>
      <x:c r="L27" s="17" t="str">
        <x:v>是（继承/调整后保留）</x:v>
      </x:c>
      <x:c r="M27" s="17" t="str">
        <x:v>PASS</x:v>
      </x:c>
    </x:row>
    <x:row r="28" ht="62" customHeight="1">
      <x:c r="A28" s="17" t="str">
        <x:v>PM-024</x:v>
      </x:c>
      <x:c r="B28" s="17" t="str">
        <x:v>进度管理</x:v>
      </x:c>
      <x:c r="C28" s="17" t="str">
        <x:v>产品与页面框架</x:v>
      </x:c>
      <x:c r="D28" s="17" t="str">
        <x:v>通用交互</x:v>
      </x:c>
      <x:c r="E28" s="17" t="str">
        <x:v>新任务日期</x:v>
      </x:c>
      <x:c r="F28" s="17" t="str">
        <x:v>快速添加的任务默认为当天任务。</x:v>
      </x:c>
      <x:c r="G28" s="17" t="str">
        <x:v>快速创建默认dueDate=当天。</x:v>
      </x:c>
      <x:c r="H28" s="17" t="str">
        <x:v>✅ 已核验</x:v>
      </x:c>
      <x:c r="I28" s="17" t="str">
        <x:v>已有历史/自动验收证据；V2.0仍待用户逐项人工确认</x:v>
      </x:c>
      <x:c r="J28" s="17" t="str">
        <x:v>1-08</x:v>
      </x:c>
      <x:c r="K28" s="17" t="str">
        <x:v>【历史需求记录；非逐字聊天原文】快速添加的任务默认为当天任务。</x:v>
      </x:c>
      <x:c r="L28" s="17" t="str">
        <x:v>是（继承/调整后保留）</x:v>
      </x:c>
      <x:c r="M28" s="17" t="str">
        <x:v>PASS</x:v>
      </x:c>
    </x:row>
    <x:row r="29" ht="62" customHeight="1">
      <x:c r="A29" s="17" t="str">
        <x:v>PM-025</x:v>
      </x:c>
      <x:c r="B29" s="17" t="str">
        <x:v>进度管理</x:v>
      </x:c>
      <x:c r="C29" s="17" t="str">
        <x:v>产品与页面框架</x:v>
      </x:c>
      <x:c r="D29" s="17" t="str">
        <x:v>通用交互</x:v>
      </x:c>
      <x:c r="E29" s="17" t="str">
        <x:v>添加顺序</x:v>
      </x:c>
      <x:c r="F29" s="17" t="str">
        <x:v>任务严格按添加顺序展示，先添加的在前，不因状态变化打乱。</x:v>
      </x:c>
      <x:c r="G29" s="17" t="str">
        <x:v>使用稳定seq字段排序，状态变化不重排。</x:v>
      </x:c>
      <x:c r="H29" s="17" t="str">
        <x:v>✅ 已核验</x:v>
      </x:c>
      <x:c r="I29" s="17" t="str">
        <x:v>已有历史/自动验收证据；V2.0仍待用户逐项人工确认</x:v>
      </x:c>
      <x:c r="J29" s="17" t="str">
        <x:v>1-09</x:v>
      </x:c>
      <x:c r="K29" s="17" t="str">
        <x:v>【历史需求记录；非逐字聊天原文】任务严格按添加顺序展示，先添加的在前，不因状态变化打乱。</x:v>
      </x:c>
      <x:c r="L29" s="17" t="str">
        <x:v>是（继承/调整后保留）</x:v>
      </x:c>
      <x:c r="M29" s="17" t="str">
        <x:v>PASS</x:v>
      </x:c>
    </x:row>
    <x:row r="30" ht="62" customHeight="1">
      <x:c r="A30" s="17" t="str">
        <x:v>PM-026</x:v>
      </x:c>
      <x:c r="B30" s="17" t="str">
        <x:v>进度管理</x:v>
      </x:c>
      <x:c r="C30" s="17" t="str">
        <x:v>产品与页面框架</x:v>
      </x:c>
      <x:c r="D30" s="17" t="str">
        <x:v>通用交互</x:v>
      </x:c>
      <x:c r="E30" s="17" t="str">
        <x:v>用户文字双击编辑</x:v>
      </x:c>
      <x:c r="F30" s="17" t="str">
        <x:v>网站任意位置，只要是用户添加/修改的文字，应支持双击编辑。</x:v>
      </x:c>
      <x:c r="G30" s="17" t="str">
        <x:v>任务、子任务、分类、完成日志等用户内容支持双击编辑。</x:v>
      </x:c>
      <x:c r="H30" s="17" t="str">
        <x:v>✅ 已核验</x:v>
      </x:c>
      <x:c r="I30" s="17" t="str">
        <x:v>已有历史/自动验收证据；V2.0仍待用户逐项人工确认</x:v>
      </x:c>
      <x:c r="J30" s="17" t="str">
        <x:v>1-14</x:v>
      </x:c>
      <x:c r="K30" s="17" t="str">
        <x:v>【历史需求记录；非逐字聊天原文】网站任意位置，只要是用户添加/修改的文字，应支持双击编辑。</x:v>
      </x:c>
      <x:c r="L30" s="17" t="str">
        <x:v>是（继承/调整后保留）</x:v>
      </x:c>
      <x:c r="M30" s="17" t="str">
        <x:v>PASS</x:v>
      </x:c>
    </x:row>
    <x:row r="31" ht="62" customHeight="1">
      <x:c r="A31" s="17" t="str">
        <x:v>PM-027</x:v>
      </x:c>
      <x:c r="B31" s="17" t="str">
        <x:v>进度管理</x:v>
      </x:c>
      <x:c r="C31" s="17" t="str">
        <x:v>产品与页面框架</x:v>
      </x:c>
      <x:c r="D31" s="17" t="str">
        <x:v>通用交互</x:v>
      </x:c>
      <x:c r="E31" s="17" t="str">
        <x:v>顶部快速添加</x:v>
      </x:c>
      <x:c r="F31" s="17" t="str">
        <x:v>顶部保留“快速添加”按钮。</x:v>
      </x:c>
      <x:c r="G31" s="17" t="str">
        <x:v>顶部提供快速创建入口。</x:v>
      </x:c>
      <x:c r="H31" s="17" t="str">
        <x:v>✅ 已核验</x:v>
      </x:c>
      <x:c r="I31" s="17" t="str">
        <x:v>已有历史/自动验收证据；V2.0仍待用户逐项人工确认</x:v>
      </x:c>
      <x:c r="J31" s="17" t="str">
        <x:v>1-06</x:v>
      </x:c>
      <x:c r="K31" s="17" t="str">
        <x:v>【历史需求记录；非逐字聊天原文】顶部保留“快速添加”按钮。</x:v>
      </x:c>
      <x:c r="L31" s="17" t="str">
        <x:v>是（继承/调整后保留）</x:v>
      </x:c>
      <x:c r="M31" s="17" t="str">
        <x:v>PASS</x:v>
      </x:c>
    </x:row>
    <x:row r="32" ht="62" customHeight="1">
      <x:c r="A32" s="17" t="str">
        <x:v>PM-028</x:v>
      </x:c>
      <x:c r="B32" s="17" t="str">
        <x:v>进度管理</x:v>
      </x:c>
      <x:c r="C32" s="17" t="str">
        <x:v>任务核心模型</x:v>
      </x:c>
      <x:c r="D32" s="17" t="str">
        <x:v>To Do 日期与重复</x:v>
      </x:c>
      <x:c r="E32" s="17" t="str"/>
      <x:c r="F32" s="17" t="str">
        <x:v>任务/子任务到期与重复周期参照 To Do：今天/明天/下周/选择日期；每天/工作日/每周/每月/每年/自定义。</x:v>
      </x:c>
      <x:c r="G32" s="17" t="str">
        <x:v>主子任务统一dueDate+repeat模型。</x:v>
      </x:c>
      <x:c r="H32" s="17" t="str">
        <x:v>✅ 已核验</x:v>
      </x:c>
      <x:c r="I32" s="17" t="str">
        <x:v>已有历史/自动验收证据；V2.0仍待用户逐项人工确认</x:v>
      </x:c>
      <x:c r="J32" s="17" t="str">
        <x:v>N-20</x:v>
      </x:c>
      <x:c r="K32" s="17" t="str">
        <x:v>【历史需求记录；非逐字聊天原文】任务/子任务到期与重复周期参照 To Do：今天/明天/下周/选择日期；每天/工作日/每周/每月/每年/自定义。</x:v>
      </x:c>
      <x:c r="L32" s="17" t="str">
        <x:v>是（继承/调整后保留）</x:v>
      </x:c>
      <x:c r="M32" s="17" t="str">
        <x:v>PASS</x:v>
      </x:c>
    </x:row>
    <x:row r="33" ht="62" customHeight="1">
      <x:c r="A33" s="17" t="str">
        <x:v>PM-029</x:v>
      </x:c>
      <x:c r="B33" s="17" t="str">
        <x:v>进度管理</x:v>
      </x:c>
      <x:c r="C33" s="17" t="str">
        <x:v>任务核心模型</x:v>
      </x:c>
      <x:c r="D33" s="17" t="str">
        <x:v>任务CRUD/批量/分类</x:v>
      </x:c>
      <x:c r="E33" s="17" t="str">
        <x:v>任务删除</x:v>
      </x:c>
      <x:c r="F33" s="17" t="str">
        <x:v>任务创建后必须可删除。</x:v>
      </x:c>
      <x:c r="G33" s="17" t="str">
        <x:v>软删除进入回收站。</x:v>
      </x:c>
      <x:c r="H33" s="17" t="str">
        <x:v>✅ 已核验</x:v>
      </x:c>
      <x:c r="I33" s="17" t="str">
        <x:v>已有历史/自动验收证据；V2.0仍待用户逐项人工确认</x:v>
      </x:c>
      <x:c r="J33" s="17" t="str">
        <x:v>2-03</x:v>
      </x:c>
      <x:c r="K33" s="17" t="str">
        <x:v>【历史需求记录；非逐字聊天原文】任务创建后必须可删除。</x:v>
      </x:c>
      <x:c r="L33" s="17" t="str">
        <x:v>是（继承/调整后保留）</x:v>
      </x:c>
      <x:c r="M33" s="17" t="str">
        <x:v>PASS</x:v>
      </x:c>
    </x:row>
    <x:row r="34" ht="62" customHeight="1">
      <x:c r="A34" s="17" t="str">
        <x:v>PM-030</x:v>
      </x:c>
      <x:c r="B34" s="17" t="str">
        <x:v>进度管理</x:v>
      </x:c>
      <x:c r="C34" s="17" t="str">
        <x:v>任务核心模型</x:v>
      </x:c>
      <x:c r="D34" s="17" t="str">
        <x:v>任务CRUD/批量/分类</x:v>
      </x:c>
      <x:c r="E34" s="17" t="str">
        <x:v>任务拖入分类</x:v>
      </x:c>
      <x:c r="F34" s="17" t="str">
        <x:v>任务可以拖到左侧分类中改变分类。</x:v>
      </x:c>
      <x:c r="G34" s="17" t="str">
        <x:v>拖拽drop更新categoryId。</x:v>
      </x:c>
      <x:c r="H34" s="17" t="str">
        <x:v>✅ 已核验</x:v>
      </x:c>
      <x:c r="I34" s="17" t="str">
        <x:v>已有历史/自动验收证据；V2.0仍待用户逐项人工确认</x:v>
      </x:c>
      <x:c r="J34" s="17" t="str">
        <x:v>2-23</x:v>
      </x:c>
      <x:c r="K34" s="17" t="str">
        <x:v>【历史需求记录；非逐字聊天原文】任务可以拖到左侧分类中改变分类。</x:v>
      </x:c>
      <x:c r="L34" s="17" t="str">
        <x:v>是（继承/调整后保留）</x:v>
      </x:c>
      <x:c r="M34" s="17" t="str">
        <x:v>PASS</x:v>
      </x:c>
    </x:row>
    <x:row r="35" ht="62" customHeight="1">
      <x:c r="A35" s="17" t="str">
        <x:v>PM-031</x:v>
      </x:c>
      <x:c r="B35" s="17" t="str">
        <x:v>进度管理</x:v>
      </x:c>
      <x:c r="C35" s="17" t="str">
        <x:v>任务核心模型</x:v>
      </x:c>
      <x:c r="D35" s="17" t="str">
        <x:v>任务CRUD/批量/分类</x:v>
      </x:c>
      <x:c r="E35" s="17" t="str">
        <x:v>任务编辑</x:v>
      </x:c>
      <x:c r="F35" s="17" t="str">
        <x:v>任务创建后必须能够编辑标题、状态、分类、日期和关键内容。</x:v>
      </x:c>
      <x:c r="G35" s="17" t="str">
        <x:v>任务详情编辑器支持核心字段更新并同步所有视图。</x:v>
      </x:c>
      <x:c r="H35" s="17" t="str">
        <x:v>✅ 已核验</x:v>
      </x:c>
      <x:c r="I35" s="17" t="str">
        <x:v>已有历史/自动验收证据；V2.0仍待用户逐项人工确认</x:v>
      </x:c>
      <x:c r="J35" s="17" t="str">
        <x:v>2-02</x:v>
      </x:c>
      <x:c r="K35" s="17" t="str">
        <x:v>【历史需求记录；非逐字聊天原文】任务创建后必须能够编辑标题、状态、分类、日期和关键内容。</x:v>
      </x:c>
      <x:c r="L35" s="17" t="str">
        <x:v>是（继承/调整后保留）</x:v>
      </x:c>
      <x:c r="M35" s="17" t="str">
        <x:v>PASS</x:v>
      </x:c>
    </x:row>
    <x:row r="36" ht="62" customHeight="1">
      <x:c r="A36" s="17" t="str">
        <x:v>PM-032</x:v>
      </x:c>
      <x:c r="B36" s="17" t="str">
        <x:v>进度管理</x:v>
      </x:c>
      <x:c r="C36" s="17" t="str">
        <x:v>任务核心模型</x:v>
      </x:c>
      <x:c r="D36" s="17" t="str">
        <x:v>任务CRUD/批量/分类</x:v>
      </x:c>
      <x:c r="E36" s="17" t="str">
        <x:v>全选</x:v>
      </x:c>
      <x:c r="F36" s="17" t="str">
        <x:v>支持批量全选。</x:v>
      </x:c>
      <x:c r="G36" s="17" t="str">
        <x:v>当前范围全选。</x:v>
      </x:c>
      <x:c r="H36" s="17" t="str">
        <x:v>✅ 已核验</x:v>
      </x:c>
      <x:c r="I36" s="17" t="str">
        <x:v>已有历史/自动验收证据；V2.0仍待用户逐项人工确认</x:v>
      </x:c>
      <x:c r="J36" s="17" t="str">
        <x:v>2-08</x:v>
      </x:c>
      <x:c r="K36" s="17" t="str">
        <x:v>【历史需求记录；非逐字聊天原文】支持批量全选。</x:v>
      </x:c>
      <x:c r="L36" s="17" t="str">
        <x:v>是（继承/调整后保留）</x:v>
      </x:c>
      <x:c r="M36" s="17" t="str">
        <x:v>PASS</x:v>
      </x:c>
    </x:row>
    <x:row r="37" ht="62" customHeight="1">
      <x:c r="A37" s="17" t="str">
        <x:v>PM-033</x:v>
      </x:c>
      <x:c r="B37" s="17" t="str">
        <x:v>进度管理</x:v>
      </x:c>
      <x:c r="C37" s="17" t="str">
        <x:v>任务核心模型</x:v>
      </x:c>
      <x:c r="D37" s="17" t="str">
        <x:v>任务CRUD/批量/分类</x:v>
      </x:c>
      <x:c r="E37" s="17" t="str">
        <x:v>全选未完成/已完成</x:v>
      </x:c>
      <x:c r="F37" s="17" t="str">
        <x:v>支持全选未完成、全选已完成。</x:v>
      </x:c>
      <x:c r="G37" s="17" t="str">
        <x:v>按状态批量选择。</x:v>
      </x:c>
      <x:c r="H37" s="17" t="str">
        <x:v>✅ 已核验</x:v>
      </x:c>
      <x:c r="I37" s="17" t="str">
        <x:v>已有历史/自动验收证据；V2.0仍待用户逐项人工确认</x:v>
      </x:c>
      <x:c r="J37" s="17" t="str">
        <x:v>2-09</x:v>
      </x:c>
      <x:c r="K37" s="17" t="str">
        <x:v>【历史需求记录；非逐字聊天原文】支持全选未完成、全选已完成。</x:v>
      </x:c>
      <x:c r="L37" s="17" t="str">
        <x:v>是（继承/调整后保留）</x:v>
      </x:c>
      <x:c r="M37" s="17" t="str">
        <x:v>PASS</x:v>
      </x:c>
    </x:row>
    <x:row r="38" ht="62" customHeight="1">
      <x:c r="A38" s="17" t="str">
        <x:v>PM-034</x:v>
      </x:c>
      <x:c r="B38" s="17" t="str">
        <x:v>进度管理</x:v>
      </x:c>
      <x:c r="C38" s="17" t="str">
        <x:v>任务核心模型</x:v>
      </x:c>
      <x:c r="D38" s="17" t="str">
        <x:v>任务CRUD/批量/分类</x:v>
      </x:c>
      <x:c r="E38" s="17" t="str">
        <x:v>关键内容编号</x:v>
      </x:c>
      <x:c r="F38" s="17" t="str">
        <x:v>任务详情用 1、2、3、4 顺序补充关键内容。</x:v>
      </x:c>
      <x:c r="G38" s="17" t="str">
        <x:v>任务详情维护可编号的关键内容/步骤。</x:v>
      </x:c>
      <x:c r="H38" s="17" t="str">
        <x:v>✅ 已核验</x:v>
      </x:c>
      <x:c r="I38" s="17" t="str">
        <x:v>已有历史/自动验收证据；V2.0仍待用户逐项人工确认</x:v>
      </x:c>
      <x:c r="J38" s="17" t="str">
        <x:v>2-06</x:v>
      </x:c>
      <x:c r="K38" s="17" t="str">
        <x:v>【历史需求记录；非逐字聊天原文】任务详情用 1、2、3、4 顺序补充关键内容。</x:v>
      </x:c>
      <x:c r="L38" s="17" t="str">
        <x:v>是（继承/调整后保留）</x:v>
      </x:c>
      <x:c r="M38" s="17" t="str">
        <x:v>PASS</x:v>
      </x:c>
    </x:row>
    <x:row r="39" ht="62" customHeight="1">
      <x:c r="A39" s="17" t="str">
        <x:v>PM-035</x:v>
      </x:c>
      <x:c r="B39" s="17" t="str">
        <x:v>进度管理</x:v>
      </x:c>
      <x:c r="C39" s="17" t="str">
        <x:v>任务核心模型</x:v>
      </x:c>
      <x:c r="D39" s="17" t="str">
        <x:v>任务CRUD/批量/分类</x:v>
      </x:c>
      <x:c r="E39" s="17" t="str">
        <x:v>分类快速排序</x:v>
      </x:c>
      <x:c r="F39" s="17" t="str">
        <x:v>分类支持上移、下移、置顶。</x:v>
      </x:c>
      <x:c r="G39" s="17" t="str">
        <x:v>order字段排序操作。</x:v>
      </x:c>
      <x:c r="H39" s="17" t="str">
        <x:v>✅ 已核验</x:v>
      </x:c>
      <x:c r="I39" s="17" t="str">
        <x:v>已有历史/自动验收证据；V2.0仍待用户逐项人工确认</x:v>
      </x:c>
      <x:c r="J39" s="17" t="str">
        <x:v>2-22</x:v>
      </x:c>
      <x:c r="K39" s="17" t="str">
        <x:v>【历史需求记录；非逐字聊天原文】分类支持上移、下移、置顶。</x:v>
      </x:c>
      <x:c r="L39" s="17" t="str">
        <x:v>是（继承/调整后保留）</x:v>
      </x:c>
      <x:c r="M39" s="17" t="str">
        <x:v>PASS</x:v>
      </x:c>
    </x:row>
    <x:row r="40" ht="62" customHeight="1">
      <x:c r="A40" s="17" t="str">
        <x:v>PM-036</x:v>
      </x:c>
      <x:c r="B40" s="17" t="str">
        <x:v>进度管理</x:v>
      </x:c>
      <x:c r="C40" s="17" t="str">
        <x:v>任务核心模型</x:v>
      </x:c>
      <x:c r="D40" s="17" t="str">
        <x:v>任务CRUD/批量/分类</x:v>
      </x:c>
      <x:c r="E40" s="17" t="str">
        <x:v>分类批量管理</x:v>
      </x:c>
      <x:c r="F40" s="17" t="str">
        <x:v>分类支持批量选择和删除。</x:v>
      </x:c>
      <x:c r="G40" s="17" t="str">
        <x:v>分类多选管理。</x:v>
      </x:c>
      <x:c r="H40" s="17" t="str">
        <x:v>✅ 已核验</x:v>
      </x:c>
      <x:c r="I40" s="17" t="str">
        <x:v>已有历史/自动验收证据；V2.0仍待用户逐项人工确认</x:v>
      </x:c>
      <x:c r="J40" s="17" t="str">
        <x:v>2-21</x:v>
      </x:c>
      <x:c r="K40" s="17" t="str">
        <x:v>【历史需求记录；非逐字聊天原文】分类支持批量选择和删除。</x:v>
      </x:c>
      <x:c r="L40" s="17" t="str">
        <x:v>是（继承/调整后保留）</x:v>
      </x:c>
      <x:c r="M40" s="17" t="str">
        <x:v>PASS</x:v>
      </x:c>
    </x:row>
    <x:row r="41" ht="62" customHeight="1">
      <x:c r="A41" s="17" t="str">
        <x:v>PM-037</x:v>
      </x:c>
      <x:c r="B41" s="17" t="str">
        <x:v>进度管理</x:v>
      </x:c>
      <x:c r="C41" s="17" t="str">
        <x:v>任务核心模型</x:v>
      </x:c>
      <x:c r="D41" s="17" t="str">
        <x:v>任务CRUD/批量/分类</x:v>
      </x:c>
      <x:c r="E41" s="17" t="str">
        <x:v>分类新增</x:v>
      </x:c>
      <x:c r="F41" s="17" t="str">
        <x:v>支持创建分类。</x:v>
      </x:c>
      <x:c r="G41" s="17" t="str">
        <x:v>分类CRUD。</x:v>
      </x:c>
      <x:c r="H41" s="17" t="str">
        <x:v>✅ 已核验</x:v>
      </x:c>
      <x:c r="I41" s="17" t="str">
        <x:v>已有历史/自动验收证据；V2.0仍待用户逐项人工确认</x:v>
      </x:c>
      <x:c r="J41" s="17" t="str">
        <x:v>2-20</x:v>
      </x:c>
      <x:c r="K41" s="17" t="str">
        <x:v>【历史需求记录；非逐字聊天原文】支持创建分类。</x:v>
      </x:c>
      <x:c r="L41" s="17" t="str">
        <x:v>是（继承/调整后保留）</x:v>
      </x:c>
      <x:c r="M41" s="17" t="str">
        <x:v>PASS</x:v>
      </x:c>
    </x:row>
    <x:row r="42" ht="62" customHeight="1">
      <x:c r="A42" s="17" t="str">
        <x:v>PM-038</x:v>
      </x:c>
      <x:c r="B42" s="17" t="str">
        <x:v>进度管理</x:v>
      </x:c>
      <x:c r="C42" s="17" t="str">
        <x:v>任务核心模型</x:v>
      </x:c>
      <x:c r="D42" s="17" t="str">
        <x:v>任务CRUD/批量/分类</x:v>
      </x:c>
      <x:c r="E42" s="17" t="str">
        <x:v>分类编辑</x:v>
      </x:c>
      <x:c r="F42" s="17" t="str">
        <x:v>分类名称可编辑。</x:v>
      </x:c>
      <x:c r="G42" s="17" t="str">
        <x:v>分类CRUD。</x:v>
      </x:c>
      <x:c r="H42" s="17" t="str">
        <x:v>✅ 已核验</x:v>
      </x:c>
      <x:c r="I42" s="17" t="str">
        <x:v>已有历史/自动验收证据；V2.0仍待用户逐项人工确认</x:v>
      </x:c>
      <x:c r="J42" s="17" t="str">
        <x:v>2-19</x:v>
      </x:c>
      <x:c r="K42" s="17" t="str">
        <x:v>【历史需求记录；非逐字聊天原文】分类名称可编辑。</x:v>
      </x:c>
      <x:c r="L42" s="17" t="str">
        <x:v>是（继承/调整后保留）</x:v>
      </x:c>
      <x:c r="M42" s="17" t="str">
        <x:v>PASS</x:v>
      </x:c>
    </x:row>
    <x:row r="43" ht="62" customHeight="1">
      <x:c r="A43" s="17" t="str">
        <x:v>PM-039</x:v>
      </x:c>
      <x:c r="B43" s="17" t="str">
        <x:v>进度管理</x:v>
      </x:c>
      <x:c r="C43" s="17" t="str">
        <x:v>任务核心模型</x:v>
      </x:c>
      <x:c r="D43" s="17" t="str">
        <x:v>任务CRUD/批量/分类</x:v>
      </x:c>
      <x:c r="E43" s="17" t="str">
        <x:v>回收站</x:v>
      </x:c>
      <x:c r="F43" s="17" t="str">
        <x:v>已删除任务可恢复。</x:v>
      </x:c>
      <x:c r="G43" s="17" t="str">
        <x:v>recycle集合与恢复动作。</x:v>
      </x:c>
      <x:c r="H43" s="17" t="str">
        <x:v>✅ 已核验</x:v>
      </x:c>
      <x:c r="I43" s="17" t="str">
        <x:v>已有历史/自动验收证据；V2.0仍待用户逐项人工确认</x:v>
      </x:c>
      <x:c r="J43" s="17" t="str">
        <x:v>2-16</x:v>
      </x:c>
      <x:c r="K43" s="17" t="str">
        <x:v>【历史需求记录；非逐字聊天原文】已删除任务可恢复。</x:v>
      </x:c>
      <x:c r="L43" s="17" t="str">
        <x:v>是（继承/调整后保留）</x:v>
      </x:c>
      <x:c r="M43" s="17" t="str">
        <x:v>PASS</x:v>
      </x:c>
    </x:row>
    <x:row r="44" ht="62" customHeight="1">
      <x:c r="A44" s="17" t="str">
        <x:v>PM-040</x:v>
      </x:c>
      <x:c r="B44" s="17" t="str">
        <x:v>进度管理</x:v>
      </x:c>
      <x:c r="C44" s="17" t="str">
        <x:v>任务核心模型</x:v>
      </x:c>
      <x:c r="D44" s="17" t="str">
        <x:v>任务CRUD/批量/分类</x:v>
      </x:c>
      <x:c r="E44" s="17" t="str">
        <x:v>固定四状态</x:v>
      </x:c>
      <x:c r="F44" s="17" t="str">
        <x:v>未开展 / 进行中 / 已完成 / 完成待优化。</x:v>
      </x:c>
      <x:c r="G44" s="17" t="str">
        <x:v>建立统一任务状态枚举；后续V2.0任务状态页扩展加入“归档”子状态。</x:v>
      </x:c>
      <x:c r="H44" s="17" t="str">
        <x:v>✅ 已核验</x:v>
      </x:c>
      <x:c r="I44" s="17" t="str">
        <x:v>已有历史/自动验收证据；V2.0仍待用户逐项人工确认</x:v>
      </x:c>
      <x:c r="J44" s="17" t="str">
        <x:v>2-01</x:v>
      </x:c>
      <x:c r="K44" s="17" t="str">
        <x:v>【历史需求记录；非逐字聊天原文】未开展 / 进行中 / 已完成 / 完成待优化。</x:v>
      </x:c>
      <x:c r="L44" s="17" t="str">
        <x:v>是（继承/调整后保留）</x:v>
      </x:c>
      <x:c r="M44" s="17" t="str">
        <x:v>PASS</x:v>
      </x:c>
    </x:row>
    <x:row r="45" ht="62" customHeight="1">
      <x:c r="A45" s="17" t="str">
        <x:v>PM-041</x:v>
      </x:c>
      <x:c r="B45" s="17" t="str">
        <x:v>进度管理</x:v>
      </x:c>
      <x:c r="C45" s="17" t="str">
        <x:v>任务核心模型</x:v>
      </x:c>
      <x:c r="D45" s="17" t="str">
        <x:v>任务CRUD/批量/分类</x:v>
      </x:c>
      <x:c r="E45" s="17" t="str">
        <x:v>多选</x:v>
      </x:c>
      <x:c r="F45" s="17" t="str">
        <x:v>任务清单支持多选。</x:v>
      </x:c>
      <x:c r="G45" s="17" t="str">
        <x:v>列表多选状态。</x:v>
      </x:c>
      <x:c r="H45" s="17" t="str">
        <x:v>✅ 已核验</x:v>
      </x:c>
      <x:c r="I45" s="17" t="str">
        <x:v>已有历史/自动验收证据；V2.0仍待用户逐项人工确认</x:v>
      </x:c>
      <x:c r="J45" s="17" t="str">
        <x:v>2-07</x:v>
      </x:c>
      <x:c r="K45" s="17" t="str">
        <x:v>【历史需求记录；非逐字聊天原文】任务清单支持多选。</x:v>
      </x:c>
      <x:c r="L45" s="17" t="str">
        <x:v>是（继承/调整后保留）</x:v>
      </x:c>
      <x:c r="M45" s="17" t="str">
        <x:v>PASS</x:v>
      </x:c>
    </x:row>
    <x:row r="46" ht="62" customHeight="1">
      <x:c r="A46" s="17" t="str">
        <x:v>PM-042</x:v>
      </x:c>
      <x:c r="B46" s="17" t="str">
        <x:v>进度管理</x:v>
      </x:c>
      <x:c r="C46" s="17" t="str">
        <x:v>任务核心模型</x:v>
      </x:c>
      <x:c r="D46" s="17" t="str">
        <x:v>任务CRUD/批量/分类</x:v>
      </x:c>
      <x:c r="E46" s="17" t="str">
        <x:v>子任务</x:v>
      </x:c>
      <x:c r="F46" s="17" t="str">
        <x:v>主任务可增加子任务。</x:v>
      </x:c>
      <x:c r="G46" s="17" t="str">
        <x:v>父子任务数据结构与步骤列表。</x:v>
      </x:c>
      <x:c r="H46" s="17" t="str">
        <x:v>✅ 已核验</x:v>
      </x:c>
      <x:c r="I46" s="17" t="str">
        <x:v>已有历史/自动验收证据；V2.0仍待用户逐项人工确认</x:v>
      </x:c>
      <x:c r="J46" s="17" t="str">
        <x:v>2-04</x:v>
      </x:c>
      <x:c r="K46" s="17" t="str">
        <x:v>【历史需求记录；非逐字聊天原文】主任务可增加子任务。</x:v>
      </x:c>
      <x:c r="L46" s="17" t="str">
        <x:v>是（继承/调整后保留）</x:v>
      </x:c>
      <x:c r="M46" s="17" t="str">
        <x:v>PASS</x:v>
      </x:c>
    </x:row>
    <x:row r="47" ht="62" customHeight="1">
      <x:c r="A47" s="17" t="str">
        <x:v>PM-043</x:v>
      </x:c>
      <x:c r="B47" s="17" t="str">
        <x:v>进度管理</x:v>
      </x:c>
      <x:c r="C47" s="17" t="str">
        <x:v>任务核心模型</x:v>
      </x:c>
      <x:c r="D47" s="17" t="str">
        <x:v>任务CRUD/批量/分类</x:v>
      </x:c>
      <x:c r="E47" s="17" t="str">
        <x:v>子任务提升</x:v>
      </x:c>
      <x:c r="F47" s="17" t="str">
        <x:v>子任务可提升为主任务。</x:v>
      </x:c>
      <x:c r="G47" s="17" t="str">
        <x:v>解除parentId并转换为主任务。</x:v>
      </x:c>
      <x:c r="H47" s="17" t="str">
        <x:v>✅ 已核验</x:v>
      </x:c>
      <x:c r="I47" s="17" t="str">
        <x:v>已有历史/自动验收证据；V2.0仍待用户逐项人工确认</x:v>
      </x:c>
      <x:c r="J47" s="17" t="str">
        <x:v>2-05</x:v>
      </x:c>
      <x:c r="K47" s="17" t="str">
        <x:v>【历史需求记录；非逐字聊天原文】子任务可提升为主任务。</x:v>
      </x:c>
      <x:c r="L47" s="17" t="str">
        <x:v>是（继承/调整后保留）</x:v>
      </x:c>
      <x:c r="M47" s="17" t="str">
        <x:v>PASS</x:v>
      </x:c>
    </x:row>
    <x:row r="48" ht="62" customHeight="1">
      <x:c r="A48" s="17" t="str">
        <x:v>PM-044</x:v>
      </x:c>
      <x:c r="B48" s="17" t="str">
        <x:v>进度管理</x:v>
      </x:c>
      <x:c r="C48" s="17" t="str">
        <x:v>任务核心模型</x:v>
      </x:c>
      <x:c r="D48" s="17" t="str">
        <x:v>任务CRUD/批量/分类</x:v>
      </x:c>
      <x:c r="E48" s="17" t="str">
        <x:v>已完成重复点击</x:v>
      </x:c>
      <x:c r="F48" s="17" t="str">
        <x:v>已完成任务再次点击不能错误重置。</x:v>
      </x:c>
      <x:c r="G48" s="17" t="str">
        <x:v>完成状态点击应幂等或按最新状态机明确推进，不可错误回到初始。</x:v>
      </x:c>
      <x:c r="H48" s="17" t="str">
        <x:v>✅ 已核验</x:v>
      </x:c>
      <x:c r="I48" s="17" t="str">
        <x:v>已有历史/自动验收证据；V2.0仍待用户逐项人工确认</x:v>
      </x:c>
      <x:c r="J48" s="17" t="str">
        <x:v>2-15</x:v>
      </x:c>
      <x:c r="K48" s="17" t="str">
        <x:v>【历史需求记录；非逐字聊天原文】已完成任务再次点击不能错误重置。</x:v>
      </x:c>
      <x:c r="L48" s="17" t="str">
        <x:v>是（继承/调整后保留）</x:v>
      </x:c>
      <x:c r="M48" s="17" t="str">
        <x:v>PASS</x:v>
      </x:c>
    </x:row>
    <x:row r="49" ht="62" customHeight="1">
      <x:c r="A49" s="17" t="str">
        <x:v>PM-045</x:v>
      </x:c>
      <x:c r="B49" s="17" t="str">
        <x:v>进度管理</x:v>
      </x:c>
      <x:c r="C49" s="17" t="str">
        <x:v>任务核心模型</x:v>
      </x:c>
      <x:c r="D49" s="17" t="str">
        <x:v>任务CRUD/批量/分类</x:v>
      </x:c>
      <x:c r="E49" s="17" t="str">
        <x:v>彻底删除</x:v>
      </x:c>
      <x:c r="F49" s="17" t="str">
        <x:v>回收站任务可彻底删除。</x:v>
      </x:c>
      <x:c r="G49" s="17" t="str">
        <x:v>永久删除数据。</x:v>
      </x:c>
      <x:c r="H49" s="17" t="str">
        <x:v>✅ 已核验</x:v>
      </x:c>
      <x:c r="I49" s="17" t="str">
        <x:v>已有历史/自动验收证据；V2.0仍待用户逐项人工确认</x:v>
      </x:c>
      <x:c r="J49" s="17" t="str">
        <x:v>2-17</x:v>
      </x:c>
      <x:c r="K49" s="17" t="str">
        <x:v>【历史需求记录；非逐字聊天原文】回收站任务可彻底删除。</x:v>
      </x:c>
      <x:c r="L49" s="17" t="str">
        <x:v>是（继承/调整后保留）</x:v>
      </x:c>
      <x:c r="M49" s="17" t="str">
        <x:v>PASS</x:v>
      </x:c>
    </x:row>
    <x:row r="50" ht="62" customHeight="1">
      <x:c r="A50" s="17" t="str">
        <x:v>PM-046</x:v>
      </x:c>
      <x:c r="B50" s="17" t="str">
        <x:v>进度管理</x:v>
      </x:c>
      <x:c r="C50" s="17" t="str">
        <x:v>任务核心模型</x:v>
      </x:c>
      <x:c r="D50" s="17" t="str">
        <x:v>任务CRUD/批量/分类</x:v>
      </x:c>
      <x:c r="E50" s="17" t="str">
        <x:v>批量分类</x:v>
      </x:c>
      <x:c r="F50" s="17" t="str">
        <x:v>任务分类支持批量修改。</x:v>
      </x:c>
      <x:c r="G50" s="17" t="str">
        <x:v>批量更新categoryId。</x:v>
      </x:c>
      <x:c r="H50" s="17" t="str">
        <x:v>✅ 已核验</x:v>
      </x:c>
      <x:c r="I50" s="17" t="str">
        <x:v>已有历史/自动验收证据；V2.0仍待用户逐项人工确认</x:v>
      </x:c>
      <x:c r="J50" s="17" t="str">
        <x:v>2-11</x:v>
      </x:c>
      <x:c r="K50" s="17" t="str">
        <x:v>【历史需求记录；非逐字聊天原文】任务分类支持批量修改。</x:v>
      </x:c>
      <x:c r="L50" s="17" t="str">
        <x:v>是（继承/调整后保留）</x:v>
      </x:c>
      <x:c r="M50" s="17" t="str">
        <x:v>PASS</x:v>
      </x:c>
    </x:row>
    <x:row r="51" ht="62" customHeight="1">
      <x:c r="A51" s="17" t="str">
        <x:v>PM-047</x:v>
      </x:c>
      <x:c r="B51" s="17" t="str">
        <x:v>进度管理</x:v>
      </x:c>
      <x:c r="C51" s="17" t="str">
        <x:v>任务核心模型</x:v>
      </x:c>
      <x:c r="D51" s="17" t="str">
        <x:v>任务CRUD/批量/分类</x:v>
      </x:c>
      <x:c r="E51" s="17" t="str">
        <x:v>批量删除</x:v>
      </x:c>
      <x:c r="F51" s="17" t="str">
        <x:v>任务支持批量删除。</x:v>
      </x:c>
      <x:c r="G51" s="17" t="str">
        <x:v>批量软删除到回收站。</x:v>
      </x:c>
      <x:c r="H51" s="17" t="str">
        <x:v>✅ 已核验</x:v>
      </x:c>
      <x:c r="I51" s="17" t="str">
        <x:v>已有历史/自动验收证据；V2.0仍待用户逐项人工确认</x:v>
      </x:c>
      <x:c r="J51" s="17" t="str">
        <x:v>2-13</x:v>
      </x:c>
      <x:c r="K51" s="17" t="str">
        <x:v>【历史需求记录；非逐字聊天原文】任务支持批量删除。</x:v>
      </x:c>
      <x:c r="L51" s="17" t="str">
        <x:v>是（继承/调整后保留）</x:v>
      </x:c>
      <x:c r="M51" s="17" t="str">
        <x:v>PASS</x:v>
      </x:c>
    </x:row>
    <x:row r="52" ht="62" customHeight="1">
      <x:c r="A52" s="17" t="str">
        <x:v>PM-048</x:v>
      </x:c>
      <x:c r="B52" s="17" t="str">
        <x:v>进度管理</x:v>
      </x:c>
      <x:c r="C52" s="17" t="str">
        <x:v>任务核心模型</x:v>
      </x:c>
      <x:c r="D52" s="17" t="str">
        <x:v>任务CRUD/批量/分类</x:v>
      </x:c>
      <x:c r="E52" s="17" t="str">
        <x:v>批量日期</x:v>
      </x:c>
      <x:c r="F52" s="17" t="str">
        <x:v>任务支持批量修改日期。</x:v>
      </x:c>
      <x:c r="G52" s="17" t="str">
        <x:v>批量更新dueDate。</x:v>
      </x:c>
      <x:c r="H52" s="17" t="str">
        <x:v>✅ 已核验</x:v>
      </x:c>
      <x:c r="I52" s="17" t="str">
        <x:v>已有历史/自动验收证据；V2.0仍待用户逐项人工确认</x:v>
      </x:c>
      <x:c r="J52" s="17" t="str">
        <x:v>2-12</x:v>
      </x:c>
      <x:c r="K52" s="17" t="str">
        <x:v>【历史需求记录；非逐字聊天原文】任务支持批量修改日期。</x:v>
      </x:c>
      <x:c r="L52" s="17" t="str">
        <x:v>是（继承/调整后保留）</x:v>
      </x:c>
      <x:c r="M52" s="17" t="str">
        <x:v>PASS</x:v>
      </x:c>
    </x:row>
    <x:row r="53" ht="62" customHeight="1">
      <x:c r="A53" s="17" t="str">
        <x:v>PM-049</x:v>
      </x:c>
      <x:c r="B53" s="17" t="str">
        <x:v>进度管理</x:v>
      </x:c>
      <x:c r="C53" s="17" t="str">
        <x:v>任务核心模型</x:v>
      </x:c>
      <x:c r="D53" s="17" t="str">
        <x:v>任务CRUD/批量/分类</x:v>
      </x:c>
      <x:c r="E53" s="17" t="str">
        <x:v>批量状态</x:v>
      </x:c>
      <x:c r="F53" s="17" t="str">
        <x:v>批量修改为未开展/进行中/已完成/完成待优化。</x:v>
      </x:c>
      <x:c r="G53" s="17" t="str">
        <x:v>批量更新status并同步视图。</x:v>
      </x:c>
      <x:c r="H53" s="17" t="str">
        <x:v>✅ 已核验</x:v>
      </x:c>
      <x:c r="I53" s="17" t="str">
        <x:v>已有历史/自动验收证据；V2.0仍待用户逐项人工确认</x:v>
      </x:c>
      <x:c r="J53" s="17" t="str">
        <x:v>2-10</x:v>
      </x:c>
      <x:c r="K53" s="17" t="str">
        <x:v>【历史需求记录；非逐字聊天原文】批量修改为未开展/进行中/已完成/完成待优化。</x:v>
      </x:c>
      <x:c r="L53" s="17" t="str">
        <x:v>是（继承/调整后保留）</x:v>
      </x:c>
      <x:c r="M53" s="17" t="str">
        <x:v>PASS</x:v>
      </x:c>
    </x:row>
    <x:row r="54" ht="62" customHeight="1">
      <x:c r="A54" s="17" t="str">
        <x:v>PM-050</x:v>
      </x:c>
      <x:c r="B54" s="17" t="str">
        <x:v>进度管理</x:v>
      </x:c>
      <x:c r="C54" s="17" t="str">
        <x:v>任务核心模型</x:v>
      </x:c>
      <x:c r="D54" s="17" t="str">
        <x:v>任务CRUD/批量/分类</x:v>
      </x:c>
      <x:c r="E54" s="17" t="str">
        <x:v>撤销/恢复</x:v>
      </x:c>
      <x:c r="F54" s="17" t="str">
        <x:v>误操作能撤销、恢复/回退。</x:v>
      </x:c>
      <x:c r="G54" s="17" t="str">
        <x:v>维护操作快照/历史栈，支持undo/redo。</x:v>
      </x:c>
      <x:c r="H54" s="17" t="str">
        <x:v>✅ 已核验</x:v>
      </x:c>
      <x:c r="I54" s="17" t="str">
        <x:v>已有历史/自动验收证据；V2.0仍待用户逐项人工确认</x:v>
      </x:c>
      <x:c r="J54" s="17" t="str">
        <x:v>2-14</x:v>
      </x:c>
      <x:c r="K54" s="17" t="str">
        <x:v>【历史需求记录；非逐字聊天原文】误操作能撤销、恢复/回退。</x:v>
      </x:c>
      <x:c r="L54" s="17" t="str">
        <x:v>是（继承/调整后保留）</x:v>
      </x:c>
      <x:c r="M54" s="17" t="str">
        <x:v>PASS</x:v>
      </x:c>
    </x:row>
    <x:row r="55" ht="62" customHeight="1">
      <x:c r="A55" s="17" t="str">
        <x:v>PM-051</x:v>
      </x:c>
      <x:c r="B55" s="17" t="str">
        <x:v>进度管理</x:v>
      </x:c>
      <x:c r="C55" s="17" t="str">
        <x:v>任务核心模型</x:v>
      </x:c>
      <x:c r="D55" s="17" t="str">
        <x:v>任务CRUD/批量/分类</x:v>
      </x:c>
      <x:c r="E55" s="17" t="str">
        <x:v>清空回收站</x:v>
      </x:c>
      <x:c r="F55" s="17" t="str">
        <x:v>回收站支持全部清空。</x:v>
      </x:c>
      <x:c r="G55" s="17" t="str">
        <x:v>批量永久删除。</x:v>
      </x:c>
      <x:c r="H55" s="17" t="str">
        <x:v>✅ 已核验</x:v>
      </x:c>
      <x:c r="I55" s="17" t="str">
        <x:v>已有历史/自动验收证据；V2.0仍待用户逐项人工确认</x:v>
      </x:c>
      <x:c r="J55" s="17" t="str">
        <x:v>2-18</x:v>
      </x:c>
      <x:c r="K55" s="17" t="str">
        <x:v>【历史需求记录；非逐字聊天原文】回收站支持全部清空。</x:v>
      </x:c>
      <x:c r="L55" s="17" t="str">
        <x:v>是（继承/调整后保留）</x:v>
      </x:c>
      <x:c r="M55" s="17" t="str">
        <x:v>PASS</x:v>
      </x:c>
    </x:row>
    <x:row r="56" ht="62" customHeight="1">
      <x:c r="A56" s="17" t="str">
        <x:v>PM-052</x:v>
      </x:c>
      <x:c r="B56" s="17" t="str">
        <x:v>进度管理</x:v>
      </x:c>
      <x:c r="C56" s="17" t="str">
        <x:v>任务核心模型</x:v>
      </x:c>
      <x:c r="D56" s="17" t="str">
        <x:v>子任务同主任务操作</x:v>
      </x:c>
      <x:c r="E56" s="17" t="str"/>
      <x:c r="F56" s="17" t="str">
        <x:v>子任务左圆圈完成、编辑、删除、日期/周期；完成后不改变原顺序。</x:v>
      </x:c>
      <x:c r="G56" s="17" t="str">
        <x:v>子任务支持完整操作并用seq稳定排序。</x:v>
      </x:c>
      <x:c r="H56" s="17" t="str">
        <x:v>✅ 已核验</x:v>
      </x:c>
      <x:c r="I56" s="17" t="str">
        <x:v>已有历史/自动验收证据；V2.0仍待用户逐项人工确认</x:v>
      </x:c>
      <x:c r="J56" s="17" t="str">
        <x:v>N-21</x:v>
      </x:c>
      <x:c r="K56" s="17" t="str">
        <x:v>【历史需求记录；非逐字聊天原文】子任务左圆圈完成、编辑、删除、日期/周期；完成后不改变原顺序。</x:v>
      </x:c>
      <x:c r="L56" s="17" t="str">
        <x:v>是（继承/调整后保留）</x:v>
      </x:c>
      <x:c r="M56" s="17" t="str">
        <x:v>PASS</x:v>
      </x:c>
    </x:row>
    <x:row r="57" ht="62" customHeight="1">
      <x:c r="A57" s="17" t="str">
        <x:v>PM-053</x:v>
      </x:c>
      <x:c r="B57" s="17" t="str">
        <x:v>进度管理</x:v>
      </x:c>
      <x:c r="C57" s="17" t="str">
        <x:v>任务核心模型</x:v>
      </x:c>
      <x:c r="D57" s="17" t="str">
        <x:v>字体优化</x:v>
      </x:c>
      <x:c r="E57" s="17" t="str"/>
      <x:c r="F57" s="17" t="str">
        <x:v>很多地方字体太小，整体提高可读性。</x:v>
      </x:c>
      <x:c r="G57" s="17" t="str">
        <x:v>提高导航、任务、元信息、详情、状态、日志字号。</x:v>
      </x:c>
      <x:c r="H57" s="17" t="str">
        <x:v>✅ 已核验</x:v>
      </x:c>
      <x:c r="I57" s="17" t="str">
        <x:v>已有历史/自动验收证据；V2.0仍待用户逐项人工确认</x:v>
      </x:c>
      <x:c r="J57" s="17" t="str">
        <x:v>N-19</x:v>
      </x:c>
      <x:c r="K57" s="17" t="str">
        <x:v>【历史需求记录；非逐字聊天原文】很多地方字体太小，整体提高可读性。</x:v>
      </x:c>
      <x:c r="L57" s="17" t="str">
        <x:v>是（继承/调整后保留）</x:v>
      </x:c>
      <x:c r="M57" s="17" t="str">
        <x:v>PASS</x:v>
      </x:c>
    </x:row>
    <x:row r="58" ht="62" customHeight="1">
      <x:c r="A58" s="17" t="str">
        <x:v>PM-054</x:v>
      </x:c>
      <x:c r="B58" s="17" t="str">
        <x:v>进度管理</x:v>
      </x:c>
      <x:c r="C58" s="17" t="str">
        <x:v>任务核心模型</x:v>
      </x:c>
      <x:c r="D58" s="17" t="str">
        <x:v>日期与周期</x:v>
      </x:c>
      <x:c r="E58" s="17" t="str">
        <x:v>延期</x:v>
      </x:c>
      <x:c r="F58" s="17" t="str">
        <x:v>支持明天、下周、下个月及自定义延期。</x:v>
      </x:c>
      <x:c r="G58" s="17" t="str">
        <x:v>日期快捷操作和自定义日期。</x:v>
      </x:c>
      <x:c r="H58" s="17" t="str">
        <x:v>✅ 已核验</x:v>
      </x:c>
      <x:c r="I58" s="17" t="str">
        <x:v>已有历史/自动验收证据；V2.0仍待用户逐项人工确认</x:v>
      </x:c>
      <x:c r="J58" s="17" t="str">
        <x:v>2-24</x:v>
      </x:c>
      <x:c r="K58" s="17" t="str">
        <x:v>【历史需求记录；非逐字聊天原文】支持明天、下周、下个月及自定义延期。</x:v>
      </x:c>
      <x:c r="L58" s="17" t="str">
        <x:v>是（继承/调整后保留）</x:v>
      </x:c>
      <x:c r="M58" s="17" t="str">
        <x:v>PASS</x:v>
      </x:c>
    </x:row>
    <x:row r="59" ht="62" customHeight="1">
      <x:c r="A59" s="17" t="str">
        <x:v>PM-055</x:v>
      </x:c>
      <x:c r="B59" s="17" t="str">
        <x:v>进度管理</x:v>
      </x:c>
      <x:c r="C59" s="17" t="str">
        <x:v>任务核心模型</x:v>
      </x:c>
      <x:c r="D59" s="17" t="str">
        <x:v>日期与周期</x:v>
      </x:c>
      <x:c r="E59" s="17" t="str">
        <x:v>自定义延期周期</x:v>
      </x:c>
      <x:c r="F59" s="17" t="str">
        <x:v>自定义延期支持天/周/月/年。</x:v>
      </x:c>
      <x:c r="G59" s="17" t="str">
        <x:v>日期偏移和重复周期模型。</x:v>
      </x:c>
      <x:c r="H59" s="17" t="str">
        <x:v>✅ 已核验</x:v>
      </x:c>
      <x:c r="I59" s="17" t="str">
        <x:v>已有历史/自动验收证据；V2.0仍待用户逐项人工确认</x:v>
      </x:c>
      <x:c r="J59" s="17" t="str">
        <x:v>2-25</x:v>
      </x:c>
      <x:c r="K59" s="17" t="str">
        <x:v>【历史需求记录；非逐字聊天原文】自定义延期支持天/周/月/年。</x:v>
      </x:c>
      <x:c r="L59" s="17" t="str">
        <x:v>是（继承/调整后保留）</x:v>
      </x:c>
      <x:c r="M59" s="17" t="str">
        <x:v>PASS</x:v>
      </x:c>
    </x:row>
    <x:row r="60" ht="62" customHeight="1">
      <x:c r="A60" s="17" t="str">
        <x:v>PM-056</x:v>
      </x:c>
      <x:c r="B60" s="17" t="str">
        <x:v>进度管理</x:v>
      </x:c>
      <x:c r="C60" s="17" t="str">
        <x:v>工作日志与生命周期</x:v>
      </x:c>
      <x:c r="D60" s="17" t="str">
        <x:v>任务生命周期/审计</x:v>
      </x:c>
      <x:c r="E60" s="17" t="str">
        <x:v>修改前后内容</x:v>
      </x:c>
      <x:c r="F60" s="17" t="str">
        <x:v>修改日志应记录修改前和修改后的具体内容。</x:v>
      </x:c>
      <x:c r="G60" s="17" t="str">
        <x:v>活动记录保存before/after。</x:v>
      </x:c>
      <x:c r="H60" s="17" t="str">
        <x:v>✅ 已核验</x:v>
      </x:c>
      <x:c r="I60" s="17" t="str">
        <x:v>已有历史/自动验收证据；V2.0仍待用户逐项人工确认</x:v>
      </x:c>
      <x:c r="J60" s="17" t="str">
        <x:v>4-10</x:v>
      </x:c>
      <x:c r="K60" s="17" t="str">
        <x:v>【历史需求记录；非逐字聊天原文】修改日志应记录修改前和修改后的具体内容。</x:v>
      </x:c>
      <x:c r="L60" s="17" t="str">
        <x:v>是（继承/调整后保留）</x:v>
      </x:c>
      <x:c r="M60" s="17" t="str">
        <x:v>PASS</x:v>
      </x:c>
    </x:row>
    <x:row r="61" ht="62" customHeight="1">
      <x:c r="A61" s="17" t="str">
        <x:v>PM-057</x:v>
      </x:c>
      <x:c r="B61" s="17" t="str">
        <x:v>进度管理</x:v>
      </x:c>
      <x:c r="C61" s="17" t="str">
        <x:v>工作日志与生命周期</x:v>
      </x:c>
      <x:c r="D61" s="17" t="str">
        <x:v>任务生命周期/审计</x:v>
      </x:c>
      <x:c r="E61" s="17" t="str">
        <x:v>操作时间</x:v>
      </x:c>
      <x:c r="F61" s="17" t="str">
        <x:v>每条自动日志记录具体操作时间。</x:v>
      </x:c>
      <x:c r="G61" s="17" t="str">
        <x:v>activities记录timestamp。</x:v>
      </x:c>
      <x:c r="H61" s="17" t="str">
        <x:v>✅ 已核验</x:v>
      </x:c>
      <x:c r="I61" s="17" t="str">
        <x:v>已有历史/自动验收证据；V2.0仍待用户逐项人工确认</x:v>
      </x:c>
      <x:c r="J61" s="17" t="str">
        <x:v>4-09</x:v>
      </x:c>
      <x:c r="K61" s="17" t="str">
        <x:v>【历史需求记录；非逐字聊天原文】每条自动日志记录具体操作时间。</x:v>
      </x:c>
      <x:c r="L61" s="17" t="str">
        <x:v>是（继承/调整后保留）</x:v>
      </x:c>
      <x:c r="M61" s="17" t="str">
        <x:v>PASS</x:v>
      </x:c>
    </x:row>
    <x:row r="62" ht="62" customHeight="1">
      <x:c r="A62" s="17" t="str">
        <x:v>PM-058</x:v>
      </x:c>
      <x:c r="B62" s="17" t="str">
        <x:v>进度管理</x:v>
      </x:c>
      <x:c r="C62" s="17" t="str">
        <x:v>工作日志与生命周期</x:v>
      </x:c>
      <x:c r="D62" s="17" t="str">
        <x:v>任务生命周期/审计</x:v>
      </x:c>
      <x:c r="E62" s="17" t="str">
        <x:v>未完成自动顺延</x:v>
      </x:c>
      <x:c r="F62" s="17" t="str">
        <x:v>过去日期未完成任务自动顺延到当天。</x:v>
      </x:c>
      <x:c r="G62" s="17" t="str">
        <x:v>过期未完成任务按规则顺延；明确未来日期任务保持计划。</x:v>
      </x:c>
      <x:c r="H62" s="17" t="str">
        <x:v>✅ 已核验</x:v>
      </x:c>
      <x:c r="I62" s="17" t="str">
        <x:v>已有历史/自动验收证据；V2.0仍待用户逐项人工确认</x:v>
      </x:c>
      <x:c r="J62" s="17" t="str">
        <x:v>4-07</x:v>
      </x:c>
      <x:c r="K62" s="17" t="str">
        <x:v>【历史需求记录；非逐字聊天原文】过去日期未完成任务自动顺延到当天。</x:v>
      </x:c>
      <x:c r="L62" s="17" t="str">
        <x:v>是（继承/调整后保留）</x:v>
      </x:c>
      <x:c r="M62" s="17" t="str">
        <x:v>PASS</x:v>
      </x:c>
    </x:row>
    <x:row r="63" ht="62" customHeight="1">
      <x:c r="A63" s="17" t="str">
        <x:v>PM-059</x:v>
      </x:c>
      <x:c r="B63" s="17" t="str">
        <x:v>进度管理</x:v>
      </x:c>
      <x:c r="C63" s="17" t="str">
        <x:v>工作日志与生命周期</x:v>
      </x:c>
      <x:c r="D63" s="17" t="str">
        <x:v>任务生命周期/审计</x:v>
      </x:c>
      <x:c r="E63" s="17" t="str">
        <x:v>自动任务记录</x:v>
      </x:c>
      <x:c r="F63" s="17" t="str">
        <x:v>当天创建、完成、修改、移动状态的任务自动进入任务记录。</x:v>
      </x:c>
      <x:c r="G63" s="17" t="str">
        <x:v>内部activities保存审计数据，但不作为可视工作日志主体。</x:v>
      </x:c>
      <x:c r="H63" s="17" t="str">
        <x:v>✅ 已核验</x:v>
      </x:c>
      <x:c r="I63" s="17" t="str">
        <x:v>已有历史/自动验收证据；V2.0仍待用户逐项人工确认</x:v>
      </x:c>
      <x:c r="J63" s="17" t="str">
        <x:v>4-08</x:v>
      </x:c>
      <x:c r="K63" s="17" t="str">
        <x:v>【历史需求记录；非逐字聊天原文】当天创建、完成、修改、移动状态的任务自动进入任务记录。</x:v>
      </x:c>
      <x:c r="L63" s="17" t="str">
        <x:v>是（继承/调整后保留）</x:v>
      </x:c>
      <x:c r="M63" s="17" t="str">
        <x:v>PASS</x:v>
      </x:c>
    </x:row>
    <x:row r="64" ht="62" customHeight="1">
      <x:c r="A64" s="17" t="str">
        <x:v>PM-060</x:v>
      </x:c>
      <x:c r="B64" s="17" t="str">
        <x:v>进度管理</x:v>
      </x:c>
      <x:c r="C64" s="17" t="str">
        <x:v>工作日志与生命周期</x:v>
      </x:c>
      <x:c r="D64" s="17" t="str">
        <x:v>完成日志人工管理</x:v>
      </x:c>
      <x:c r="E64" s="17" t="str"/>
      <x:c r="F64" s="17" t="str">
        <x:v>已完成日志支持人工编辑、修改、删除。</x:v>
      </x:c>
      <x:c r="G64" s="17" t="str">
        <x:v>完成日志显示名可改，可隐藏/删除。</x:v>
      </x:c>
      <x:c r="H64" s="17" t="str">
        <x:v>✅ 已核验</x:v>
      </x:c>
      <x:c r="I64" s="17" t="str">
        <x:v>已有历史/自动验收证据；V2.0仍待用户逐项人工确认</x:v>
      </x:c>
      <x:c r="J64" s="17" t="str">
        <x:v>N-13</x:v>
      </x:c>
      <x:c r="K64" s="17" t="str">
        <x:v>【历史需求记录；非逐字聊天原文】已完成日志支持人工编辑、修改、删除。</x:v>
      </x:c>
      <x:c r="L64" s="17" t="str">
        <x:v>是（继承/调整后保留）</x:v>
      </x:c>
      <x:c r="M64" s="17" t="str">
        <x:v>PASS</x:v>
      </x:c>
    </x:row>
    <x:row r="65" ht="62" customHeight="1">
      <x:c r="A65" s="17" t="str">
        <x:v>PM-061</x:v>
      </x:c>
      <x:c r="B65" s="17" t="str">
        <x:v>进度管理</x:v>
      </x:c>
      <x:c r="C65" s="17" t="str">
        <x:v>工作日志与生命周期</x:v>
      </x:c>
      <x:c r="D65" s="17" t="str">
        <x:v>完成日志倒序/月折叠</x:v>
      </x:c>
      <x:c r="E65" s="17" t="str"/>
      <x:c r="F65" s="17" t="str">
        <x:v>近期按日期倒序；更早按月份折叠查看。</x:v>
      </x:c>
      <x:c r="G65" s="17" t="str">
        <x:v>日期/月倒序+折叠。</x:v>
      </x:c>
      <x:c r="H65" s="17" t="str">
        <x:v>✅ 已核验</x:v>
      </x:c>
      <x:c r="I65" s="17" t="str">
        <x:v>已有历史/自动验收证据；V2.0仍待用户逐项人工确认</x:v>
      </x:c>
      <x:c r="J65" s="17" t="str">
        <x:v>N-12</x:v>
      </x:c>
      <x:c r="K65" s="17" t="str">
        <x:v>【历史需求记录；非逐字聊天原文】近期按日期倒序；更早按月份折叠查看。</x:v>
      </x:c>
      <x:c r="L65" s="17" t="str">
        <x:v>是（继承/调整后保留）</x:v>
      </x:c>
      <x:c r="M65" s="17" t="str">
        <x:v>PASS</x:v>
      </x:c>
    </x:row>
    <x:row r="66" ht="62" customHeight="1">
      <x:c r="A66" s="17" t="str">
        <x:v>PM-062</x:v>
      </x:c>
      <x:c r="B66" s="17" t="str">
        <x:v>进度管理</x:v>
      </x:c>
      <x:c r="C66" s="17" t="str">
        <x:v>工作日志与生命周期</x:v>
      </x:c>
      <x:c r="D66" s="17" t="str">
        <x:v>工作日志完成归档</x:v>
      </x:c>
      <x:c r="E66" s="17" t="str"/>
      <x:c r="F66" s="17" t="str">
        <x:v>工作日志只回答哪天完成了什么，不显示创建/修改流水。</x:v>
      </x:c>
      <x:c r="G66" s="17" t="str">
        <x:v>可视日志仅使用完成/归档任务。</x:v>
      </x:c>
      <x:c r="H66" s="17" t="str">
        <x:v>✅ 已核验</x:v>
      </x:c>
      <x:c r="I66" s="17" t="str">
        <x:v>已有历史/自动验收证据；V2.0仍待用户逐项人工确认</x:v>
      </x:c>
      <x:c r="J66" s="17" t="str">
        <x:v>N-11</x:v>
      </x:c>
      <x:c r="K66" s="17" t="str">
        <x:v>【历史需求记录；非逐字聊天原文】工作日志只回答哪天完成了什么，不显示创建/修改流水。</x:v>
      </x:c>
      <x:c r="L66" s="17" t="str">
        <x:v>是（继承/调整后保留）</x:v>
      </x:c>
      <x:c r="M66" s="17" t="str">
        <x:v>PASS</x:v>
      </x:c>
    </x:row>
    <x:row r="67" ht="62" customHeight="1">
      <x:c r="A67" s="17" t="str">
        <x:v>PM-063</x:v>
      </x:c>
      <x:c r="B67" s="17" t="str">
        <x:v>进度管理</x:v>
      </x:c>
      <x:c r="C67" s="17" t="str">
        <x:v>工作日志与生命周期</x:v>
      </x:c>
      <x:c r="D67" s="17" t="str">
        <x:v>日志展示</x:v>
      </x:c>
      <x:c r="E67" s="17" t="str">
        <x:v>删除手写日志</x:v>
      </x:c>
      <x:c r="F67" s="17" t="str">
        <x:v>历史手写日志可删除。</x:v>
      </x:c>
      <x:c r="G67" s="17" t="str">
        <x:v>后续替换为完成日志记录可隐藏/删除。</x:v>
      </x:c>
      <x:c r="H67" s="17" t="str">
        <x:v>⚠ 已替代/取消</x:v>
      </x:c>
      <x:c r="I67" s="17" t="str">
        <x:v>与后续更新需求冲突或被重新定义，保留历史但不作为V2.0现行验收目标</x:v>
      </x:c>
      <x:c r="J67" s="17" t="str">
        <x:v>4-14</x:v>
      </x:c>
      <x:c r="K67" s="17" t="str">
        <x:v>【历史需求记录；非逐字聊天原文】历史手写日志可删除。</x:v>
      </x:c>
      <x:c r="L67" s="17" t="str">
        <x:v>否/部分（由后续需求替代）</x:v>
      </x:c>
      <x:c r="M67" s="17" t="str">
        <x:v>SUPERSEDED</x:v>
      </x:c>
    </x:row>
    <x:row r="68" ht="62" customHeight="1">
      <x:c r="A68" s="17" t="str">
        <x:v>PM-064</x:v>
      </x:c>
      <x:c r="B68" s="17" t="str">
        <x:v>进度管理</x:v>
      </x:c>
      <x:c r="C68" s="17" t="str">
        <x:v>工作日志与生命周期</x:v>
      </x:c>
      <x:c r="D68" s="17" t="str">
        <x:v>日志展示</x:v>
      </x:c>
      <x:c r="E68" s="17" t="str">
        <x:v>历史倒序</x:v>
      </x:c>
      <x:c r="F68" s="17" t="str">
        <x:v>所有历史日志按时间倒序查看。</x:v>
      </x:c>
      <x:c r="G68" s="17" t="str">
        <x:v>完成日志按日期倒序。</x:v>
      </x:c>
      <x:c r="H68" s="17" t="str">
        <x:v>✅ 已核验</x:v>
      </x:c>
      <x:c r="I68" s="17" t="str">
        <x:v>已有历史/自动验收证据；V2.0仍待用户逐项人工确认</x:v>
      </x:c>
      <x:c r="J68" s="17" t="str">
        <x:v>4-11</x:v>
      </x:c>
      <x:c r="K68" s="17" t="str">
        <x:v>【历史需求记录；非逐字聊天原文】所有历史日志按时间倒序查看。</x:v>
      </x:c>
      <x:c r="L68" s="17" t="str">
        <x:v>是（继承/调整后保留）</x:v>
      </x:c>
      <x:c r="M68" s="17" t="str">
        <x:v>PASS</x:v>
      </x:c>
    </x:row>
    <x:row r="69" ht="62" customHeight="1">
      <x:c r="A69" s="17" t="str">
        <x:v>PM-065</x:v>
      </x:c>
      <x:c r="B69" s="17" t="str">
        <x:v>进度管理</x:v>
      </x:c>
      <x:c r="C69" s="17" t="str">
        <x:v>工作日志与生命周期</x:v>
      </x:c>
      <x:c r="D69" s="17" t="str">
        <x:v>日志展示</x:v>
      </x:c>
      <x:c r="E69" s="17" t="str">
        <x:v>历史编辑</x:v>
      </x:c>
      <x:c r="F69" s="17" t="str">
        <x:v>旧日志能够重新编辑。</x:v>
      </x:c>
      <x:c r="G69" s="17" t="str">
        <x:v>后续替换为完成日志显示名称可人工修改。</x:v>
      </x:c>
      <x:c r="H69" s="17" t="str">
        <x:v>⚠ 已替代/取消</x:v>
      </x:c>
      <x:c r="I69" s="17" t="str">
        <x:v>与后续更新需求冲突或被重新定义，保留历史但不作为V2.0现行验收目标</x:v>
      </x:c>
      <x:c r="J69" s="17" t="str">
        <x:v>4-13</x:v>
      </x:c>
      <x:c r="K69" s="17" t="str">
        <x:v>【历史需求记录；非逐字聊天原文】旧日志能够重新编辑。</x:v>
      </x:c>
      <x:c r="L69" s="17" t="str">
        <x:v>否/部分（由后续需求替代）</x:v>
      </x:c>
      <x:c r="M69" s="17" t="str">
        <x:v>SUPERSEDED</x:v>
      </x:c>
    </x:row>
    <x:row r="70" ht="62" customHeight="1">
      <x:c r="A70" s="17" t="str">
        <x:v>PM-066</x:v>
      </x:c>
      <x:c r="B70" s="17" t="str">
        <x:v>进度管理</x:v>
      </x:c>
      <x:c r="C70" s="17" t="str">
        <x:v>工作日志与生命周期</x:v>
      </x:c>
      <x:c r="D70" s="17" t="str">
        <x:v>日志展示</x:v>
      </x:c>
      <x:c r="E70" s="17" t="str">
        <x:v>回车自动编号</x:v>
      </x:c>
      <x:c r="F70" s="17" t="str">
        <x:v>日志回车后继续自动生成下一编号。</x:v>
      </x:c>
      <x:c r="G70" s="17" t="str">
        <x:v>随手写日志主体取消，编号不再作为现行功能。</x:v>
      </x:c>
      <x:c r="H70" s="17" t="str">
        <x:v>⚠ 已替代/取消</x:v>
      </x:c>
      <x:c r="I70" s="17" t="str">
        <x:v>与后续更新需求冲突或被重新定义，保留历史但不作为V2.0现行验收目标</x:v>
      </x:c>
      <x:c r="J70" s="17" t="str">
        <x:v>4-03</x:v>
      </x:c>
      <x:c r="K70" s="17" t="str">
        <x:v>【历史需求记录；非逐字聊天原文】日志回车后继续自动生成下一编号。</x:v>
      </x:c>
      <x:c r="L70" s="17" t="str">
        <x:v>否/部分（由后续需求替代）</x:v>
      </x:c>
      <x:c r="M70" s="17" t="str">
        <x:v>SUPERSEDED</x:v>
      </x:c>
    </x:row>
    <x:row r="71" ht="62" customHeight="1">
      <x:c r="A71" s="17" t="str">
        <x:v>PM-067</x:v>
      </x:c>
      <x:c r="B71" s="17" t="str">
        <x:v>进度管理</x:v>
      </x:c>
      <x:c r="C71" s="17" t="str">
        <x:v>工作日志与生命周期</x:v>
      </x:c>
      <x:c r="D71" s="17" t="str">
        <x:v>日志展示</x:v>
      </x:c>
      <x:c r="E71" s="17" t="str">
        <x:v>完成任务数量</x:v>
      </x:c>
      <x:c r="F71" s="17" t="str">
        <x:v>当天完成任务数量清晰显示。</x:v>
      </x:c>
      <x:c r="G71" s="17" t="str">
        <x:v>后续改为完成事项归档列表为主。</x:v>
      </x:c>
      <x:c r="H71" s="17" t="str">
        <x:v>⚠ 已替代/取消</x:v>
      </x:c>
      <x:c r="I71" s="17" t="str">
        <x:v>与后续更新需求冲突或被重新定义，保留历史但不作为V2.0现行验收目标</x:v>
      </x:c>
      <x:c r="J71" s="17" t="str">
        <x:v>4-05</x:v>
      </x:c>
      <x:c r="K71" s="17" t="str">
        <x:v>【历史需求记录；非逐字聊天原文】当天完成任务数量清晰显示。</x:v>
      </x:c>
      <x:c r="L71" s="17" t="str">
        <x:v>否/部分（由后续需求替代）</x:v>
      </x:c>
      <x:c r="M71" s="17" t="str">
        <x:v>SUPERSEDED</x:v>
      </x:c>
    </x:row>
    <x:row r="72" ht="62" customHeight="1">
      <x:c r="A72" s="17" t="str">
        <x:v>PM-068</x:v>
      </x:c>
      <x:c r="B72" s="17" t="str">
        <x:v>进度管理</x:v>
      </x:c>
      <x:c r="C72" s="17" t="str">
        <x:v>工作日志与生命周期</x:v>
      </x:c>
      <x:c r="D72" s="17" t="str">
        <x:v>日志展示</x:v>
      </x:c>
      <x:c r="E72" s="17" t="str">
        <x:v>当天任务快速添加</x:v>
      </x:c>
      <x:c r="F72" s="17" t="str">
        <x:v>日志页可以快速建立当天任务。</x:v>
      </x:c>
      <x:c r="G72" s="17" t="str">
        <x:v>后续工作日志仅归档，不承担创建。</x:v>
      </x:c>
      <x:c r="H72" s="17" t="str">
        <x:v>⚠ 已替代/取消</x:v>
      </x:c>
      <x:c r="I72" s="17" t="str">
        <x:v>与后续更新需求冲突或被重新定义，保留历史但不作为V2.0现行验收目标</x:v>
      </x:c>
      <x:c r="J72" s="17" t="str">
        <x:v>4-06</x:v>
      </x:c>
      <x:c r="K72" s="17" t="str">
        <x:v>【历史需求记录；非逐字聊天原文】日志页可以快速建立当天任务。</x:v>
      </x:c>
      <x:c r="L72" s="17" t="str">
        <x:v>否/部分（由后续需求替代）</x:v>
      </x:c>
      <x:c r="M72" s="17" t="str">
        <x:v>SUPERSEDED</x:v>
      </x:c>
    </x:row>
    <x:row r="73" ht="62" customHeight="1">
      <x:c r="A73" s="17" t="str">
        <x:v>PM-069</x:v>
      </x:c>
      <x:c r="B73" s="17" t="str">
        <x:v>进度管理</x:v>
      </x:c>
      <x:c r="C73" s="17" t="str">
        <x:v>工作日志与生命周期</x:v>
      </x:c>
      <x:c r="D73" s="17" t="str">
        <x:v>日志展示</x:v>
      </x:c>
      <x:c r="E73" s="17" t="str">
        <x:v>当天工作日志</x:v>
      </x:c>
      <x:c r="F73" s="17" t="str">
        <x:v>工作日志页显示选定日期的手写日志。</x:v>
      </x:c>
      <x:c r="G73" s="17" t="str">
        <x:v>后续工作日志重构为“已完成/归档事项”而非手写正文。</x:v>
      </x:c>
      <x:c r="H73" s="17" t="str">
        <x:v>⚠ 已替代/取消</x:v>
      </x:c>
      <x:c r="I73" s="17" t="str">
        <x:v>与后续更新需求冲突或被重新定义，保留历史但不作为V2.0现行验收目标</x:v>
      </x:c>
      <x:c r="J73" s="17" t="str">
        <x:v>4-01</x:v>
      </x:c>
      <x:c r="K73" s="17" t="str">
        <x:v>【历史需求记录；非逐字聊天原文】工作日志页显示选定日期的手写日志。</x:v>
      </x:c>
      <x:c r="L73" s="17" t="str">
        <x:v>否/部分（由后续需求替代）</x:v>
      </x:c>
      <x:c r="M73" s="17" t="str">
        <x:v>SUPERSEDED</x:v>
      </x:c>
    </x:row>
    <x:row r="74" ht="62" customHeight="1">
      <x:c r="A74" s="17" t="str">
        <x:v>PM-070</x:v>
      </x:c>
      <x:c r="B74" s="17" t="str">
        <x:v>进度管理</x:v>
      </x:c>
      <x:c r="C74" s="17" t="str">
        <x:v>工作日志与生命周期</x:v>
      </x:c>
      <x:c r="D74" s="17" t="str">
        <x:v>日志展示</x:v>
      </x:c>
      <x:c r="E74" s="17" t="str">
        <x:v>按月/日折叠</x:v>
      </x:c>
      <x:c r="F74" s="17" t="str">
        <x:v>历史日志按月、日组织并可展开/折叠。</x:v>
      </x:c>
      <x:c r="G74" s="17" t="str">
        <x:v>完成日志月/日分组折叠。</x:v>
      </x:c>
      <x:c r="H74" s="17" t="str">
        <x:v>✅ 已核验</x:v>
      </x:c>
      <x:c r="I74" s="17" t="str">
        <x:v>已有历史/自动验收证据；V2.0仍待用户逐项人工确认</x:v>
      </x:c>
      <x:c r="J74" s="17" t="str">
        <x:v>4-12</x:v>
      </x:c>
      <x:c r="K74" s="17" t="str">
        <x:v>【历史需求记录；非逐字聊天原文】历史日志按月、日组织并可展开/折叠。</x:v>
      </x:c>
      <x:c r="L74" s="17" t="str">
        <x:v>是（继承/调整后保留）</x:v>
      </x:c>
      <x:c r="M74" s="17" t="str">
        <x:v>PASS</x:v>
      </x:c>
    </x:row>
    <x:row r="75" ht="62" customHeight="1">
      <x:c r="A75" s="17" t="str">
        <x:v>PM-071</x:v>
      </x:c>
      <x:c r="B75" s="17" t="str">
        <x:v>进度管理</x:v>
      </x:c>
      <x:c r="C75" s="17" t="str">
        <x:v>工作日志与生命周期</x:v>
      </x:c>
      <x:c r="D75" s="17" t="str">
        <x:v>日志展示</x:v>
      </x:c>
      <x:c r="E75" s="17" t="str">
        <x:v>日志自动保存</x:v>
      </x:c>
      <x:c r="F75" s="17" t="str">
        <x:v>手写日志实时/自动保存。</x:v>
      </x:c>
      <x:c r="G75" s="17" t="str">
        <x:v>手写日志主体取消；完成日志由任务状态自动形成。</x:v>
      </x:c>
      <x:c r="H75" s="17" t="str">
        <x:v>⚠ 已替代/取消</x:v>
      </x:c>
      <x:c r="I75" s="17" t="str">
        <x:v>与后续更新需求冲突或被重新定义，保留历史但不作为V2.0现行验收目标</x:v>
      </x:c>
      <x:c r="J75" s="17" t="str">
        <x:v>4-04</x:v>
      </x:c>
      <x:c r="K75" s="17" t="str">
        <x:v>【历史需求记录；非逐字聊天原文】手写日志实时/自动保存。</x:v>
      </x:c>
      <x:c r="L75" s="17" t="str">
        <x:v>否/部分（由后续需求替代）</x:v>
      </x:c>
      <x:c r="M75" s="17" t="str">
        <x:v>SUPERSEDED</x:v>
      </x:c>
    </x:row>
    <x:row r="76" ht="62" customHeight="1">
      <x:c r="A76" s="17" t="str">
        <x:v>PM-072</x:v>
      </x:c>
      <x:c r="B76" s="17" t="str">
        <x:v>进度管理</x:v>
      </x:c>
      <x:c r="C76" s="17" t="str">
        <x:v>工作日志与生命周期</x:v>
      </x:c>
      <x:c r="D76" s="17" t="str">
        <x:v>日志展示</x:v>
      </x:c>
      <x:c r="E76" s="17" t="str">
        <x:v>默认日志模板</x:v>
      </x:c>
      <x:c r="F76" s="17" t="str">
        <x:v>默认提示“1今天推进了什么 / 2遇到的问题和判断 / 3明天准备做什么”。</x:v>
      </x:c>
      <x:c r="G76" s="17" t="str">
        <x:v>随手写日志模板后续取消。</x:v>
      </x:c>
      <x:c r="H76" s="17" t="str">
        <x:v>⚠ 已替代/取消</x:v>
      </x:c>
      <x:c r="I76" s="17" t="str">
        <x:v>与后续更新需求冲突或被重新定义，保留历史但不作为V2.0现行验收目标</x:v>
      </x:c>
      <x:c r="J76" s="17" t="str">
        <x:v>4-02</x:v>
      </x:c>
      <x:c r="K76" s="17" t="str">
        <x:v>【历史需求记录；非逐字聊天原文】默认提示“1今天推进了什么 / 2遇到的问题和判断 / 3明天准备做什么”。</x:v>
      </x:c>
      <x:c r="L76" s="17" t="str">
        <x:v>否/部分（由后续需求替代）</x:v>
      </x:c>
      <x:c r="M76" s="17" t="str">
        <x:v>SUPERSEDED</x:v>
      </x:c>
    </x:row>
    <x:row r="77" ht="62" customHeight="1">
      <x:c r="A77" s="17" t="str">
        <x:v>PM-073</x:v>
      </x:c>
      <x:c r="B77" s="17" t="str">
        <x:v>进度管理</x:v>
      </x:c>
      <x:c r="C77" s="17" t="str">
        <x:v>数据、账号与发布</x:v>
      </x:c>
      <x:c r="D77" s="17" t="str">
        <x:v>专项任务独立 Excel</x:v>
      </x:c>
      <x:c r="E77" s="17" t="str"/>
      <x:c r="F77" s="17" t="str">
        <x:v>专项任务自身 Excel 导入/导出继续保留。</x:v>
      </x:c>
      <x:c r="G77" s="17" t="str">
        <x:v>专项模块保留独立Excel入口。</x:v>
      </x:c>
      <x:c r="H77" s="17" t="str">
        <x:v>✅ 已核验</x:v>
      </x:c>
      <x:c r="I77" s="17" t="str">
        <x:v>已有历史/自动验收证据；V2.0仍待用户逐项人工确认</x:v>
      </x:c>
      <x:c r="J77" s="17" t="str">
        <x:v>N-17</x:v>
      </x:c>
      <x:c r="K77" s="17" t="str">
        <x:v>【历史需求记录；非逐字聊天原文】专项任务自身 Excel 导入/导出继续保留。</x:v>
      </x:c>
      <x:c r="L77" s="17" t="str">
        <x:v>是（继承/调整后保留）</x:v>
      </x:c>
      <x:c r="M77" s="17" t="str">
        <x:v>PASS</x:v>
      </x:c>
    </x:row>
    <x:row r="78" ht="62" customHeight="1">
      <x:c r="A78" s="17" t="str">
        <x:v>PM-074</x:v>
      </x:c>
      <x:c r="B78" s="17" t="str">
        <x:v>进度管理</x:v>
      </x:c>
      <x:c r="C78" s="17" t="str">
        <x:v>数据、账号与发布</x:v>
      </x:c>
      <x:c r="D78" s="17" t="str">
        <x:v>全站 Excel 包含专项任务</x:v>
      </x:c>
      <x:c r="E78" s="17" t="str"/>
      <x:c r="F78" s="17" t="str">
        <x:v>进度管理总 Excel 导入/导出必须涵盖专项任务内容。</x:v>
      </x:c>
      <x:c r="G78" s="17" t="str">
        <x:v>总工作簿加入专项工作簿/任务数据；V2进一步纳入画布快照。</x:v>
      </x:c>
      <x:c r="H78" s="17" t="str">
        <x:v>⏳ 联机待验收</x:v>
      </x:c>
      <x:c r="I78" s="17" t="str">
        <x:v>需要正式GitHub Pages/真实邮件/同域数据的端到端测试</x:v>
      </x:c>
      <x:c r="J78" s="17" t="str">
        <x:v>N-18</x:v>
      </x:c>
      <x:c r="K78" s="17" t="str">
        <x:v>【历史需求记录；非逐字聊天原文】进度管理总 Excel 导入/导出必须涵盖专项任务内容。</x:v>
      </x:c>
      <x:c r="L78" s="17" t="str">
        <x:v>联机阶段</x:v>
      </x:c>
      <x:c r="M78" s="17" t="str">
        <x:v>ONLINE</x:v>
      </x:c>
    </x:row>
    <x:row r="79" ht="62" customHeight="1">
      <x:c r="A79" s="17" t="str">
        <x:v>PM-075</x:v>
      </x:c>
      <x:c r="B79" s="17" t="str">
        <x:v>进度管理</x:v>
      </x:c>
      <x:c r="C79" s="17" t="str">
        <x:v>数据、账号与发布</x:v>
      </x:c>
      <x:c r="D79" s="17" t="str">
        <x:v>发布/版本</x:v>
      </x:c>
      <x:c r="E79" s="17" t="str">
        <x:v>GitHub Pages</x:v>
      </x:c>
      <x:c r="F79" s="17" t="str">
        <x:v>本地版本可直接放 GitHub 仓库发布。</x:v>
      </x:c>
      <x:c r="G79" s="17" t="str">
        <x:v>单文件/静态资源可部署GitHub Pages。</x:v>
      </x:c>
      <x:c r="H79" s="17" t="str">
        <x:v>✅ 已核验</x:v>
      </x:c>
      <x:c r="I79" s="17" t="str">
        <x:v>已有历史/自动验收证据；V2.0仍待用户逐项人工确认</x:v>
      </x:c>
      <x:c r="J79" s="17" t="str">
        <x:v>5-12</x:v>
      </x:c>
      <x:c r="K79" s="17" t="str">
        <x:v>【历史需求记录；非逐字聊天原文】本地版本可直接放 GitHub 仓库发布。</x:v>
      </x:c>
      <x:c r="L79" s="17" t="str">
        <x:v>是（继承/调整后保留）</x:v>
      </x:c>
      <x:c r="M79" s="17" t="str">
        <x:v>PASS</x:v>
      </x:c>
    </x:row>
    <x:row r="80" ht="62" customHeight="1">
      <x:c r="A80" s="17" t="str">
        <x:v>PM-076</x:v>
      </x:c>
      <x:c r="B80" s="17" t="str">
        <x:v>进度管理</x:v>
      </x:c>
      <x:c r="C80" s="17" t="str">
        <x:v>数据、账号与发布</x:v>
      </x:c>
      <x:c r="D80" s="17" t="str">
        <x:v>发布/版本</x:v>
      </x:c>
      <x:c r="E80" s="17" t="str">
        <x:v>全站访问量边界</x:v>
      </x:c>
      <x:c r="F80" s="17" t="str">
        <x:v>GitHub Pages 纯静态站无法只靠前端得到“所有访客统一全站访问次数”。</x:v>
      </x:c>
      <x:c r="G80" s="17" t="str">
        <x:v>明确能力边界，不伪造全站访问量。</x:v>
      </x:c>
      <x:c r="H80" s="17" t="str">
        <x:v>✅ 已核验</x:v>
      </x:c>
      <x:c r="I80" s="17" t="str">
        <x:v>已有历史/自动验收证据；V2.0仍待用户逐项人工确认</x:v>
      </x:c>
      <x:c r="J80" s="17" t="str">
        <x:v>5-09</x:v>
      </x:c>
      <x:c r="K80" s="17" t="str">
        <x:v>【历史需求记录；非逐字聊天原文】GitHub Pages 纯静态站无法只靠前端得到“所有访客统一全站访问次数”。</x:v>
      </x:c>
      <x:c r="L80" s="17" t="str">
        <x:v>是（继承/调整后保留）</x:v>
      </x:c>
      <x:c r="M80" s="17" t="str">
        <x:v>PASS</x:v>
      </x:c>
    </x:row>
    <x:row r="81" ht="62" customHeight="1">
      <x:c r="A81" s="17" t="str">
        <x:v>PM-077</x:v>
      </x:c>
      <x:c r="B81" s="17" t="str">
        <x:v>进度管理</x:v>
      </x:c>
      <x:c r="C81" s="17" t="str">
        <x:v>数据、账号与发布</x:v>
      </x:c>
      <x:c r="D81" s="17" t="str">
        <x:v>发布/版本</x:v>
      </x:c>
      <x:c r="E81" s="17" t="str">
        <x:v>打开即用</x:v>
      </x:c>
      <x:c r="F81" s="17" t="str">
        <x:v>非程序员双击 index.html 即可使用。</x:v>
      </x:c>
      <x:c r="G81" s="17" t="str">
        <x:v>本地主体双击可用；V2.0核心功能进一步实现离线运行。</x:v>
      </x:c>
      <x:c r="H81" s="17" t="str">
        <x:v>✅ 已核验</x:v>
      </x:c>
      <x:c r="I81" s="17" t="str">
        <x:v>已有历史/自动验收证据；V2.0仍待用户逐项人工确认</x:v>
      </x:c>
      <x:c r="J81" s="17" t="str">
        <x:v>5-13</x:v>
      </x:c>
      <x:c r="K81" s="17" t="str">
        <x:v>【历史需求记录；非逐字聊天原文】非程序员双击 index.html 即可使用。</x:v>
      </x:c>
      <x:c r="L81" s="17" t="str">
        <x:v>是（继承/调整后保留）</x:v>
      </x:c>
      <x:c r="M81" s="17" t="str">
        <x:v>PASS</x:v>
      </x:c>
    </x:row>
    <x:row r="82" ht="62" customHeight="1">
      <x:c r="A82" s="17" t="str">
        <x:v>PM-078</x:v>
      </x:c>
      <x:c r="B82" s="17" t="str">
        <x:v>进度管理</x:v>
      </x:c>
      <x:c r="C82" s="17" t="str">
        <x:v>数据、账号与发布</x:v>
      </x:c>
      <x:c r="D82" s="17" t="str">
        <x:v>发布/版本</x:v>
      </x:c>
      <x:c r="E82" s="17" t="str">
        <x:v>版本不覆盖</x:v>
      </x:c>
      <x:c r="F82" s="17" t="str">
        <x:v>V1.0 → V1.1，保留历史可回退。</x:v>
      </x:c>
      <x:c r="G82" s="17" t="str">
        <x:v>每次版本独立命名，不覆盖历史文件。</x:v>
      </x:c>
      <x:c r="H82" s="17" t="str">
        <x:v>✅ 已核验</x:v>
      </x:c>
      <x:c r="I82" s="17" t="str">
        <x:v>已有历史/自动验收证据；V2.0仍待用户逐项人工确认</x:v>
      </x:c>
      <x:c r="J82" s="17" t="str">
        <x:v>5-14</x:v>
      </x:c>
      <x:c r="K82" s="17" t="str">
        <x:v>【历史需求记录；非逐字聊天原文】V1.0 → V1.1，保留历史可回退。</x:v>
      </x:c>
      <x:c r="L82" s="17" t="str">
        <x:v>是（继承/调整后保留）</x:v>
      </x:c>
      <x:c r="M82" s="17" t="str">
        <x:v>PASS</x:v>
      </x:c>
    </x:row>
    <x:row r="83" ht="62" customHeight="1">
      <x:c r="A83" s="17" t="str">
        <x:v>PM-079</x:v>
      </x:c>
      <x:c r="B83" s="17" t="str">
        <x:v>进度管理</x:v>
      </x:c>
      <x:c r="C83" s="17" t="str">
        <x:v>数据、账号与发布</x:v>
      </x:c>
      <x:c r="D83" s="17" t="str">
        <x:v>发布/版本</x:v>
      </x:c>
      <x:c r="E83" s="17" t="str">
        <x:v>访问次数显示</x:v>
      </x:c>
      <x:c r="F83" s="17" t="str">
        <x:v>网站显示访问次数，点击后查看统计。</x:v>
      </x:c>
      <x:c r="G83" s="17" t="str">
        <x:v>仅保留本浏览器访问统计。</x:v>
      </x:c>
      <x:c r="H83" s="17" t="str">
        <x:v>✅ 已核验</x:v>
      </x:c>
      <x:c r="I83" s="17" t="str">
        <x:v>已有历史/自动验收证据；V2.0仍待用户逐项人工确认</x:v>
      </x:c>
      <x:c r="J83" s="17" t="str">
        <x:v>5-08</x:v>
      </x:c>
      <x:c r="K83" s="17" t="str">
        <x:v>【历史需求记录；非逐字聊天原文】网站显示访问次数，点击后查看统计。</x:v>
      </x:c>
      <x:c r="L83" s="17" t="str">
        <x:v>是（继承/调整后保留）</x:v>
      </x:c>
      <x:c r="M83" s="17" t="str">
        <x:v>PASS</x:v>
      </x:c>
    </x:row>
    <x:row r="84" ht="62" customHeight="1">
      <x:c r="A84" s="17" t="str">
        <x:v>PM-080</x:v>
      </x:c>
      <x:c r="B84" s="17" t="str">
        <x:v>进度管理</x:v>
      </x:c>
      <x:c r="C84" s="17" t="str">
        <x:v>数据、账号与发布</x:v>
      </x:c>
      <x:c r="D84" s="17" t="str">
        <x:v>数据/Excel</x:v>
      </x:c>
      <x:c r="E84" s="17" t="str">
        <x:v>Excel 导入</x:v>
      </x:c>
      <x:c r="F84" s="17" t="str">
        <x:v>支持导入 Excel 恢复数据。</x:v>
      </x:c>
      <x:c r="G84" s="17" t="str">
        <x:v>解析Excel并恢复数据。</x:v>
      </x:c>
      <x:c r="H84" s="17" t="str">
        <x:v>✅ 已核验</x:v>
      </x:c>
      <x:c r="I84" s="17" t="str">
        <x:v>已有历史/自动验收证据；V2.0仍待用户逐项人工确认</x:v>
      </x:c>
      <x:c r="J84" s="17" t="str">
        <x:v>5-04</x:v>
      </x:c>
      <x:c r="K84" s="17" t="str">
        <x:v>【历史需求记录；非逐字聊天原文】支持导入 Excel 恢复数据。</x:v>
      </x:c>
      <x:c r="L84" s="17" t="str">
        <x:v>是（继承/调整后保留）</x:v>
      </x:c>
      <x:c r="M84" s="17" t="str">
        <x:v>PASS</x:v>
      </x:c>
    </x:row>
    <x:row r="85" ht="62" customHeight="1">
      <x:c r="A85" s="17" t="str">
        <x:v>PM-081</x:v>
      </x:c>
      <x:c r="B85" s="17" t="str">
        <x:v>进度管理</x:v>
      </x:c>
      <x:c r="C85" s="17" t="str">
        <x:v>数据、账号与发布</x:v>
      </x:c>
      <x:c r="D85" s="17" t="str">
        <x:v>数据/Excel</x:v>
      </x:c>
      <x:c r="E85" s="17" t="str">
        <x:v>Excel 导出</x:v>
      </x:c>
      <x:c r="F85" s="17" t="str">
        <x:v>支持导出 Excel。</x:v>
      </x:c>
      <x:c r="G85" s="17" t="str">
        <x:v>生成全站Excel备份。</x:v>
      </x:c>
      <x:c r="H85" s="17" t="str">
        <x:v>✅ 已核验</x:v>
      </x:c>
      <x:c r="I85" s="17" t="str">
        <x:v>已有历史/自动验收证据；V2.0仍待用户逐项人工确认</x:v>
      </x:c>
      <x:c r="J85" s="17" t="str">
        <x:v>5-03</x:v>
      </x:c>
      <x:c r="K85" s="17" t="str">
        <x:v>【历史需求记录；非逐字聊天原文】支持导出 Excel。</x:v>
      </x:c>
      <x:c r="L85" s="17" t="str">
        <x:v>是（继承/调整后保留）</x:v>
      </x:c>
      <x:c r="M85" s="17" t="str">
        <x:v>PASS</x:v>
      </x:c>
    </x:row>
    <x:row r="86" ht="62" customHeight="1">
      <x:c r="A86" s="17" t="str">
        <x:v>PM-082</x:v>
      </x:c>
      <x:c r="B86" s="17" t="str">
        <x:v>进度管理</x:v>
      </x:c>
      <x:c r="C86" s="17" t="str">
        <x:v>数据、账号与发布</x:v>
      </x:c>
      <x:c r="D86" s="17" t="str">
        <x:v>数据/Excel</x:v>
      </x:c>
      <x:c r="E86" s="17" t="str">
        <x:v>Excel 数据完整性</x:v>
      </x:c>
      <x:c r="F86" s="17" t="str">
        <x:v>Excel 应覆盖任务、分类、日志、任务动态及设置。</x:v>
      </x:c>
      <x:c r="G86" s="17" t="str">
        <x:v>全站工作簿覆盖任务、分类、完成日志、活动记录、设置，并扩展专项任务数据。</x:v>
      </x:c>
      <x:c r="H86" s="17" t="str">
        <x:v>✅ 已核验</x:v>
      </x:c>
      <x:c r="I86" s="17" t="str">
        <x:v>已有历史/自动验收证据；V2.0仍待用户逐项人工确认</x:v>
      </x:c>
      <x:c r="J86" s="17" t="str">
        <x:v>5-05</x:v>
      </x:c>
      <x:c r="K86" s="17" t="str">
        <x:v>【历史需求记录；非逐字聊天原文】Excel 应覆盖任务、分类、日志、任务动态及设置。</x:v>
      </x:c>
      <x:c r="L86" s="17" t="str">
        <x:v>是（继承/调整后保留）</x:v>
      </x:c>
      <x:c r="M86" s="17" t="str">
        <x:v>PASS</x:v>
      </x:c>
    </x:row>
    <x:row r="87" ht="62" customHeight="1">
      <x:c r="A87" s="17" t="str">
        <x:v>PM-083</x:v>
      </x:c>
      <x:c r="B87" s="17" t="str">
        <x:v>进度管理</x:v>
      </x:c>
      <x:c r="C87" s="17" t="str">
        <x:v>数据、账号与发布</x:v>
      </x:c>
      <x:c r="D87" s="17" t="str">
        <x:v>数据/Excel</x:v>
      </x:c>
      <x:c r="E87" s="17" t="str">
        <x:v>旧字段兼容</x:v>
      </x:c>
      <x:c r="F87" s="17" t="str">
        <x:v>导入时识别任务名称、分类、状态、日期等常用列。</x:v>
      </x:c>
      <x:c r="G87" s="17" t="str">
        <x:v>导入映射常见旧字段名。</x:v>
      </x:c>
      <x:c r="H87" s="17" t="str">
        <x:v>✅ 已核验</x:v>
      </x:c>
      <x:c r="I87" s="17" t="str">
        <x:v>已有历史/自动验收证据；V2.0仍待用户逐项人工确认</x:v>
      </x:c>
      <x:c r="J87" s="17" t="str">
        <x:v>5-06</x:v>
      </x:c>
      <x:c r="K87" s="17" t="str">
        <x:v>【历史需求记录；非逐字聊天原文】导入时识别任务名称、分类、状态、日期等常用列。</x:v>
      </x:c>
      <x:c r="L87" s="17" t="str">
        <x:v>是（继承/调整后保留）</x:v>
      </x:c>
      <x:c r="M87" s="17" t="str">
        <x:v>PASS</x:v>
      </x:c>
    </x:row>
    <x:row r="88" ht="62" customHeight="1">
      <x:c r="A88" s="17" t="str">
        <x:v>PM-084</x:v>
      </x:c>
      <x:c r="B88" s="17" t="str">
        <x:v>进度管理</x:v>
      </x:c>
      <x:c r="C88" s="17" t="str">
        <x:v>数据、账号与发布</x:v>
      </x:c>
      <x:c r="D88" s="17" t="str">
        <x:v>数据/Excel</x:v>
      </x:c>
      <x:c r="E88" s="17" t="str">
        <x:v>本地自动保存</x:v>
      </x:c>
      <x:c r="F88" s="17" t="str">
        <x:v>数据实时自动保存。</x:v>
      </x:c>
      <x:c r="G88" s="17" t="str">
        <x:v>localStorage自动保存。</x:v>
      </x:c>
      <x:c r="H88" s="17" t="str">
        <x:v>✅ 已核验</x:v>
      </x:c>
      <x:c r="I88" s="17" t="str">
        <x:v>已有历史/自动验收证据；V2.0仍待用户逐项人工确认</x:v>
      </x:c>
      <x:c r="J88" s="17" t="str">
        <x:v>5-01</x:v>
      </x:c>
      <x:c r="K88" s="17" t="str">
        <x:v>【历史需求记录；非逐字聊天原文】数据实时自动保存。</x:v>
      </x:c>
      <x:c r="L88" s="17" t="str">
        <x:v>是（继承/调整后保留）</x:v>
      </x:c>
      <x:c r="M88" s="17" t="str">
        <x:v>PASS</x:v>
      </x:c>
    </x:row>
    <x:row r="89" ht="62" customHeight="1">
      <x:c r="A89" s="17" t="str">
        <x:v>PM-085</x:v>
      </x:c>
      <x:c r="B89" s="17" t="str">
        <x:v>进度管理</x:v>
      </x:c>
      <x:c r="C89" s="17" t="str">
        <x:v>数据、账号与发布</x:v>
      </x:c>
      <x:c r="D89" s="17" t="str">
        <x:v>数据/Excel</x:v>
      </x:c>
      <x:c r="E89" s="17" t="str">
        <x:v>浏览器隔离</x:v>
      </x:c>
      <x:c r="F89" s="17" t="str">
        <x:v>游客可直接编辑，不同浏览器本地数据互相隔离。</x:v>
      </x:c>
      <x:c r="G89" s="17" t="str">
        <x:v>未登录按浏览器localStorage隔离。</x:v>
      </x:c>
      <x:c r="H89" s="17" t="str">
        <x:v>✅ 已核验</x:v>
      </x:c>
      <x:c r="I89" s="17" t="str">
        <x:v>已有历史/自动验收证据；V2.0仍待用户逐项人工确认</x:v>
      </x:c>
      <x:c r="J89" s="17" t="str">
        <x:v>5-02</x:v>
      </x:c>
      <x:c r="K89" s="17" t="str">
        <x:v>【历史需求记录；非逐字聊天原文】游客可直接编辑，不同浏览器本地数据互相隔离。</x:v>
      </x:c>
      <x:c r="L89" s="17" t="str">
        <x:v>是（继承/调整后保留）</x:v>
      </x:c>
      <x:c r="M89" s="17" t="str">
        <x:v>PASS</x:v>
      </x:c>
    </x:row>
    <x:row r="90" ht="62" customHeight="1">
      <x:c r="A90" s="17" t="str">
        <x:v>PM-086</x:v>
      </x:c>
      <x:c r="B90" s="17" t="str">
        <x:v>进度管理</x:v>
      </x:c>
      <x:c r="C90" s="17" t="str">
        <x:v>数据、账号与发布</x:v>
      </x:c>
      <x:c r="D90" s="17" t="str">
        <x:v>数据/Excel</x:v>
      </x:c>
      <x:c r="E90" s="17" t="str">
        <x:v>清空数据</x:v>
      </x:c>
      <x:c r="F90" s="17" t="str">
        <x:v>允许用户全部清空本地数据。</x:v>
      </x:c>
      <x:c r="G90" s="17" t="str">
        <x:v>清空本地状态。</x:v>
      </x:c>
      <x:c r="H90" s="17" t="str">
        <x:v>✅ 已核验</x:v>
      </x:c>
      <x:c r="I90" s="17" t="str">
        <x:v>已有历史/自动验收证据；V2.0仍待用户逐项人工确认</x:v>
      </x:c>
      <x:c r="J90" s="17" t="str">
        <x:v>5-07</x:v>
      </x:c>
      <x:c r="K90" s="17" t="str">
        <x:v>【历史需求记录；非逐字聊天原文】允许用户全部清空本地数据。</x:v>
      </x:c>
      <x:c r="L90" s="17" t="str">
        <x:v>是（继承/调整后保留）</x:v>
      </x:c>
      <x:c r="M90" s="17" t="str">
        <x:v>PASS</x:v>
      </x:c>
    </x:row>
    <x:row r="91" ht="62" customHeight="1">
      <x:c r="A91" s="17" t="str">
        <x:v>PM-087</x:v>
      </x:c>
      <x:c r="B91" s="17" t="str">
        <x:v>进度管理</x:v>
      </x:c>
      <x:c r="C91" s="17" t="str">
        <x:v>数据、账号与发布</x:v>
      </x:c>
      <x:c r="D91" s="17" t="str">
        <x:v>最外层云端账号</x:v>
      </x:c>
      <x:c r="E91" s="17" t="str"/>
      <x:c r="F91" s="17" t="str">
        <x:v>把专项任务原“仅本机/登录云端”注册登录流程提到进度管理最外层，沿用同一 Supabase。</x:v>
      </x:c>
      <x:c r="G91" s="17" t="str">
        <x:v>统一外层身份，真实邮件确认/恢复需在线环境验收。</x:v>
      </x:c>
      <x:c r="H91" s="17" t="str">
        <x:v>⏳ 联机待验收</x:v>
      </x:c>
      <x:c r="I91" s="17" t="str">
        <x:v>需要正式GitHub Pages/真实邮件/同域数据的端到端测试</x:v>
      </x:c>
      <x:c r="J91" s="17" t="str">
        <x:v>N-16</x:v>
      </x:c>
      <x:c r="K91" s="17" t="str">
        <x:v>【历史需求记录；非逐字聊天原文】把专项任务原“仅本机/登录云端”注册登录流程提到进度管理最外层，沿用同一 Supabase。</x:v>
      </x:c>
      <x:c r="L91" s="17" t="str">
        <x:v>联机阶段</x:v>
      </x:c>
      <x:c r="M91" s="17" t="str">
        <x:v>ONLINE</x:v>
      </x:c>
    </x:row>
    <x:row r="92" ht="62" customHeight="1">
      <x:c r="A92" s="17" t="str">
        <x:v>PM-088</x:v>
      </x:c>
      <x:c r="B92" s="17" t="str">
        <x:v>进度管理</x:v>
      </x:c>
      <x:c r="C92" s="17" t="str">
        <x:v>数据、账号与发布</x:v>
      </x:c>
      <x:c r="D92" s="17" t="str">
        <x:v>账号云端</x:v>
      </x:c>
      <x:c r="E92" s="17" t="str">
        <x:v>注册/登录入口</x:v>
      </x:c>
      <x:c r="F92" s="17" t="str">
        <x:v>成果网站保留注册/登录入口。</x:v>
      </x:c>
      <x:c r="G92" s="17" t="str">
        <x:v>外层接入Supabase注册/登录。</x:v>
      </x:c>
      <x:c r="H92" s="17" t="str">
        <x:v>✅ 已核验</x:v>
      </x:c>
      <x:c r="I92" s="17" t="str">
        <x:v>已有历史/自动验收证据；V2.0仍待用户逐项人工确认</x:v>
      </x:c>
      <x:c r="J92" s="17" t="str">
        <x:v>5-10</x:v>
      </x:c>
      <x:c r="K92" s="17" t="str">
        <x:v>【历史需求记录；非逐字聊天原文】成果网站保留注册/登录入口。</x:v>
      </x:c>
      <x:c r="L92" s="17" t="str">
        <x:v>是（继承/调整后保留）</x:v>
      </x:c>
      <x:c r="M92" s="17" t="str">
        <x:v>PASS</x:v>
      </x:c>
    </x:row>
    <x:row r="93" ht="62" customHeight="1">
      <x:c r="A93" s="17" t="str">
        <x:v>PM-089</x:v>
      </x:c>
      <x:c r="B93" s="17" t="str">
        <x:v>进度管理</x:v>
      </x:c>
      <x:c r="C93" s="17" t="str">
        <x:v>数据、账号与发布</x:v>
      </x:c>
      <x:c r="D93" s="17" t="str">
        <x:v>账号云端</x:v>
      </x:c>
      <x:c r="E93" s="17" t="str">
        <x:v>真实邮箱验证/找回密码</x:v>
      </x:c>
      <x:c r="F93" s="17" t="str">
        <x:v>历史需求曾要求邮箱验证、密码及找回密码。</x:v>
      </x:c>
      <x:c r="G93" s="17" t="str">
        <x:v>后续升级为沿用专项任务Supabase真实注册/登录/忘记密码流程。</x:v>
      </x:c>
      <x:c r="H93" s="17" t="str">
        <x:v>⚠ 已替代/取消</x:v>
      </x:c>
      <x:c r="I93" s="17" t="str">
        <x:v>与后续更新需求冲突或被重新定义，保留历史但不作为V2.0现行验收目标</x:v>
      </x:c>
      <x:c r="J93" s="17" t="str">
        <x:v>5-11</x:v>
      </x:c>
      <x:c r="K93" s="17" t="str">
        <x:v>【历史需求记录；非逐字聊天原文】历史需求曾要求邮箱验证、密码及找回密码。</x:v>
      </x:c>
      <x:c r="L93" s="17" t="str">
        <x:v>否/部分（由后续需求替代）</x:v>
      </x:c>
      <x:c r="M93" s="17" t="str">
        <x:v>SUPERSEDED</x:v>
      </x:c>
    </x:row>
    <x:row r="94" ht="62" customHeight="1">
      <x:c r="A94" s="17" t="str">
        <x:v>PM-090</x:v>
      </x:c>
      <x:c r="B94" s="17" t="str">
        <x:v>进度管理</x:v>
      </x:c>
      <x:c r="C94" s="17" t="str">
        <x:v>界面品牌与发布</x:v>
      </x:c>
      <x:c r="D94" s="17" t="str">
        <x:v>公开发布</x:v>
      </x:c>
      <x:c r="E94" s="17" t="str">
        <x:v>GitHub Pages 发布</x:v>
      </x:c>
      <x:c r="F94" s="17" t="str">
        <x:v>V1.5 通过 GitHub Actions 发布到 /do/。</x:v>
      </x:c>
      <x:c r="G94" s="17" t="str">
        <x:v>CI自动部署GitHub Pages。</x:v>
      </x:c>
      <x:c r="H94" s="17" t="str">
        <x:v>✅ 已核验</x:v>
      </x:c>
      <x:c r="I94" s="17" t="str">
        <x:v>已有历史/自动验收证据；V2.0仍待用户逐项人工确认</x:v>
      </x:c>
      <x:c r="J94" s="17" t="str">
        <x:v>P-03</x:v>
      </x:c>
      <x:c r="K94" s="17" t="str">
        <x:v>【历史需求记录；非逐字聊天原文】V1.5 通过 GitHub Actions 发布到 /do/。</x:v>
      </x:c>
      <x:c r="L94" s="17" t="str">
        <x:v>是（继承/调整后保留）</x:v>
      </x:c>
      <x:c r="M94" s="17" t="str">
        <x:v>PASS</x:v>
      </x:c>
    </x:row>
    <x:row r="95" ht="62" customHeight="1">
      <x:c r="A95" s="17" t="str">
        <x:v>PM-091</x:v>
      </x:c>
      <x:c r="B95" s="17" t="str">
        <x:v>进度管理</x:v>
      </x:c>
      <x:c r="C95" s="17" t="str">
        <x:v>界面品牌与发布</x:v>
      </x:c>
      <x:c r="D95" s="17" t="str">
        <x:v>公开发布</x:v>
      </x:c>
      <x:c r="E95" s="17" t="str">
        <x:v>公开专项任务空白隔离</x:v>
      </x:c>
      <x:c r="F95" s="17" t="str">
        <x:v>发布构建继续将专项任务默认示例改为空白项目，并使用独立存储。</x:v>
      </x:c>
      <x:c r="G95" s="17" t="str">
        <x:v>发布副本清空示例并隔离localStorage。</x:v>
      </x:c>
      <x:c r="H95" s="17" t="str">
        <x:v>✅ 已核验</x:v>
      </x:c>
      <x:c r="I95" s="17" t="str">
        <x:v>已有历史/自动验收证据；V2.0仍待用户逐项人工确认</x:v>
      </x:c>
      <x:c r="J95" s="17" t="str">
        <x:v>P-02</x:v>
      </x:c>
      <x:c r="K95" s="17" t="str">
        <x:v>【历史需求记录；非逐字聊天原文】发布构建继续将专项任务默认示例改为空白项目，并使用独立存储。</x:v>
      </x:c>
      <x:c r="L95" s="17" t="str">
        <x:v>是（继承/调整后保留）</x:v>
      </x:c>
      <x:c r="M95" s="17" t="str">
        <x:v>PASS</x:v>
      </x:c>
    </x:row>
    <x:row r="96" ht="62" customHeight="1">
      <x:c r="A96" s="17" t="str">
        <x:v>PM-092</x:v>
      </x:c>
      <x:c r="B96" s="17" t="str">
        <x:v>进度管理</x:v>
      </x:c>
      <x:c r="C96" s="17" t="str">
        <x:v>界面品牌与发布</x:v>
      </x:c>
      <x:c r="D96" s="17" t="str">
        <x:v>公开发布</x:v>
      </x:c>
      <x:c r="E96" s="17" t="str">
        <x:v>公开主站空白隔离</x:v>
      </x:c>
      <x:c r="F96" s="17" t="str">
        <x:v>公开站主任务使用独立 V1.5 存储，新访客不读取旧站个人数据。</x:v>
      </x:c>
      <x:c r="G96" s="17" t="str">
        <x:v>公开构建使用独立存储键。</x:v>
      </x:c>
      <x:c r="H96" s="17" t="str">
        <x:v>✅ 已核验</x:v>
      </x:c>
      <x:c r="I96" s="17" t="str">
        <x:v>已有历史/自动验收证据；V2.0仍待用户逐项人工确认</x:v>
      </x:c>
      <x:c r="J96" s="17" t="str">
        <x:v>P-01</x:v>
      </x:c>
      <x:c r="K96" s="17" t="str">
        <x:v>【历史需求记录；非逐字聊天原文】公开站主任务使用独立 V1.5 存储，新访客不读取旧站个人数据。</x:v>
      </x:c>
      <x:c r="L96" s="17" t="str">
        <x:v>是（继承/调整后保留）</x:v>
      </x:c>
      <x:c r="M96" s="17" t="str">
        <x:v>PASS</x:v>
      </x:c>
    </x:row>
    <x:row r="97" ht="62" customHeight="1">
      <x:c r="A97" s="17" t="str">
        <x:v>PM-093</x:v>
      </x:c>
      <x:c r="B97" s="17" t="str">
        <x:v>进度管理</x:v>
      </x:c>
      <x:c r="C97" s="17" t="str">
        <x:v>界面品牌与发布</x:v>
      </x:c>
      <x:c r="D97" s="17" t="str">
        <x:v>品牌</x:v>
      </x:c>
      <x:c r="E97" s="17" t="str">
        <x:v>DO 标志</x:v>
      </x:c>
      <x:c r="F97" s="17" t="str">
        <x:v>左上角使用蓝紫渐变圆角方块“DO”标志。</x:v>
      </x:c>
      <x:c r="G97" s="17" t="str">
        <x:v>品牌视觉组件。</x:v>
      </x:c>
      <x:c r="H97" s="17" t="str">
        <x:v>✅ 已核验</x:v>
      </x:c>
      <x:c r="I97" s="17" t="str">
        <x:v>已有历史/自动验收证据；V2.0仍待用户逐项人工确认</x:v>
      </x:c>
      <x:c r="J97" s="17" t="str">
        <x:v>B-01</x:v>
      </x:c>
      <x:c r="K97" s="17" t="str">
        <x:v>【历史需求记录；非逐字聊天原文】左上角使用蓝紫渐变圆角方块“DO”标志。</x:v>
      </x:c>
      <x:c r="L97" s="17" t="str">
        <x:v>是（继承/调整后保留）</x:v>
      </x:c>
      <x:c r="M97" s="17" t="str">
        <x:v>PASS</x:v>
      </x:c>
    </x:row>
    <x:row r="98" ht="62" customHeight="1">
      <x:c r="A98" s="17" t="str">
        <x:v>PM-094</x:v>
      </x:c>
      <x:c r="B98" s="17" t="str">
        <x:v>进度管理</x:v>
      </x:c>
      <x:c r="C98" s="17" t="str">
        <x:v>界面品牌与发布</x:v>
      </x:c>
      <x:c r="D98" s="17" t="str">
        <x:v>品牌</x:v>
      </x:c>
      <x:c r="E98" s="17" t="str">
        <x:v>三层名称结构</x:v>
      </x:c>
      <x:c r="F98" s="17" t="str">
        <x:v>默认显示 DO / 进度管理 / 任务 · 工作日志 · 专项任务。</x:v>
      </x:c>
      <x:c r="G98" s="17" t="str">
        <x:v>品牌信息分层展示。</x:v>
      </x:c>
      <x:c r="H98" s="17" t="str">
        <x:v>✅ 已核验</x:v>
      </x:c>
      <x:c r="I98" s="17" t="str">
        <x:v>已有历史/自动验收证据；V2.0仍待用户逐项人工确认</x:v>
      </x:c>
      <x:c r="J98" s="17" t="str">
        <x:v>B-02</x:v>
      </x:c>
      <x:c r="K98" s="17" t="str">
        <x:v>【历史需求记录；非逐字聊天原文】默认显示 DO / 进度管理 / 任务 · 工作日志 · 专项任务。</x:v>
      </x:c>
      <x:c r="L98" s="17" t="str">
        <x:v>是（继承/调整后保留）</x:v>
      </x:c>
      <x:c r="M98" s="17" t="str">
        <x:v>PASS</x:v>
      </x:c>
    </x:row>
    <x:row r="99" ht="62" customHeight="1">
      <x:c r="A99" s="17" t="str">
        <x:v>PM-095</x:v>
      </x:c>
      <x:c r="B99" s="17" t="str">
        <x:v>进度管理</x:v>
      </x:c>
      <x:c r="C99" s="17" t="str">
        <x:v>界面品牌与发布</x:v>
      </x:c>
      <x:c r="D99" s="17" t="str">
        <x:v>品牌</x:v>
      </x:c>
      <x:c r="E99" s="17" t="str">
        <x:v>只改品牌不乱改功能</x:v>
      </x:c>
      <x:c r="F99" s="17" t="str">
        <x:v>V1.5 基于完整 V1.4 生成，任务/日志/四状态/专项任务等已确认逻辑不重构。</x:v>
      </x:c>
      <x:c r="G99" s="17" t="str">
        <x:v>版本变更隔离，回归测试业务逻辑。</x:v>
      </x:c>
      <x:c r="H99" s="17" t="str">
        <x:v>✅ 已核验</x:v>
      </x:c>
      <x:c r="I99" s="17" t="str">
        <x:v>已有历史/自动验收证据；V2.0仍待用户逐项人工确认</x:v>
      </x:c>
      <x:c r="J99" s="17" t="str">
        <x:v>B-07</x:v>
      </x:c>
      <x:c r="K99" s="17" t="str">
        <x:v>【历史需求记录；非逐字聊天原文】V1.5 基于完整 V1.4 生成，任务/日志/四状态/专项任务等已确认逻辑不重构。</x:v>
      </x:c>
      <x:c r="L99" s="17" t="str">
        <x:v>是（继承/调整后保留）</x:v>
      </x:c>
      <x:c r="M99" s="17" t="str">
        <x:v>PASS</x:v>
      </x:c>
    </x:row>
    <x:row r="100" ht="62" customHeight="1">
      <x:c r="A100" s="17" t="str">
        <x:v>PM-096</x:v>
      </x:c>
      <x:c r="B100" s="17" t="str">
        <x:v>进度管理</x:v>
      </x:c>
      <x:c r="C100" s="17" t="str">
        <x:v>界面品牌与发布</x:v>
      </x:c>
      <x:c r="D100" s="17" t="str">
        <x:v>品牌</x:v>
      </x:c>
      <x:c r="E100" s="17" t="str">
        <x:v>品牌可自定义</x:v>
      </x:c>
      <x:c r="F100" s="17" t="str">
        <x:v>用户可修改标志文字、顶部简称、主名称、副标题。</x:v>
      </x:c>
      <x:c r="G100" s="17" t="str">
        <x:v>品牌设置表单。</x:v>
      </x:c>
      <x:c r="H100" s="17" t="str">
        <x:v>✅ 已核验</x:v>
      </x:c>
      <x:c r="I100" s="17" t="str">
        <x:v>已有历史/自动验收证据；V2.0仍待用户逐项人工确认</x:v>
      </x:c>
      <x:c r="J100" s="17" t="str">
        <x:v>B-03</x:v>
      </x:c>
      <x:c r="K100" s="17" t="str">
        <x:v>【历史需求记录；非逐字聊天原文】用户可修改标志文字、顶部简称、主名称、副标题。</x:v>
      </x:c>
      <x:c r="L100" s="17" t="str">
        <x:v>是（继承/调整后保留）</x:v>
      </x:c>
      <x:c r="M100" s="17" t="str">
        <x:v>PASS</x:v>
      </x:c>
    </x:row>
    <x:row r="101" ht="62" customHeight="1">
      <x:c r="A101" s="17" t="str">
        <x:v>PM-097</x:v>
      </x:c>
      <x:c r="B101" s="17" t="str">
        <x:v>进度管理</x:v>
      </x:c>
      <x:c r="C101" s="17" t="str">
        <x:v>界面品牌与发布</x:v>
      </x:c>
      <x:c r="D101" s="17" t="str">
        <x:v>品牌</x:v>
      </x:c>
      <x:c r="E101" s="17" t="str">
        <x:v>品牌实时预览</x:v>
      </x:c>
      <x:c r="F101" s="17" t="str">
        <x:v>自定义弹窗修改时提供预览，保存后立即应用。</x:v>
      </x:c>
      <x:c r="G101" s="17" t="str">
        <x:v>设置草稿实时预览。</x:v>
      </x:c>
      <x:c r="H101" s="17" t="str">
        <x:v>✅ 已核验</x:v>
      </x:c>
      <x:c r="I101" s="17" t="str">
        <x:v>已有历史/自动验收证据；V2.0仍待用户逐项人工确认</x:v>
      </x:c>
      <x:c r="J101" s="17" t="str">
        <x:v>B-04</x:v>
      </x:c>
      <x:c r="K101" s="17" t="str">
        <x:v>【历史需求记录；非逐字聊天原文】自定义弹窗修改时提供预览，保存后立即应用。</x:v>
      </x:c>
      <x:c r="L101" s="17" t="str">
        <x:v>是（继承/调整后保留）</x:v>
      </x:c>
      <x:c r="M101" s="17" t="str">
        <x:v>PASS</x:v>
      </x:c>
    </x:row>
    <x:row r="102" ht="62" customHeight="1">
      <x:c r="A102" s="17" t="str">
        <x:v>PM-098</x:v>
      </x:c>
      <x:c r="B102" s="17" t="str">
        <x:v>进度管理</x:v>
      </x:c>
      <x:c r="C102" s="17" t="str">
        <x:v>界面品牌与发布</x:v>
      </x:c>
      <x:c r="D102" s="17" t="str">
        <x:v>品牌</x:v>
      </x:c>
      <x:c r="E102" s="17" t="str">
        <x:v>品牌持久化</x:v>
      </x:c>
      <x:c r="F102" s="17" t="str">
        <x:v>品牌设置写入浏览器本地数据，刷新继续保持。</x:v>
      </x:c>
      <x:c r="G102" s="17" t="str">
        <x:v>brand settings localStorage。</x:v>
      </x:c>
      <x:c r="H102" s="17" t="str">
        <x:v>✅ 已核验</x:v>
      </x:c>
      <x:c r="I102" s="17" t="str">
        <x:v>已有历史/自动验收证据；V2.0仍待用户逐项人工确认</x:v>
      </x:c>
      <x:c r="J102" s="17" t="str">
        <x:v>B-05</x:v>
      </x:c>
      <x:c r="K102" s="17" t="str">
        <x:v>【历史需求记录；非逐字聊天原文】品牌设置写入浏览器本地数据，刷新继续保持。</x:v>
      </x:c>
      <x:c r="L102" s="17" t="str">
        <x:v>是（继承/调整后保留）</x:v>
      </x:c>
      <x:c r="M102" s="17" t="str">
        <x:v>PASS</x:v>
      </x:c>
    </x:row>
    <x:row r="103" ht="62" customHeight="1">
      <x:c r="A103" s="17" t="str">
        <x:v>PM-099</x:v>
      </x:c>
      <x:c r="B103" s="17" t="str">
        <x:v>进度管理</x:v>
      </x:c>
      <x:c r="C103" s="17" t="str">
        <x:v>界面品牌与发布</x:v>
      </x:c>
      <x:c r="D103" s="17" t="str">
        <x:v>品牌</x:v>
      </x:c>
      <x:c r="E103" s="17" t="str">
        <x:v>品牌随 Excel 备份</x:v>
      </x:c>
      <x:c r="F103" s="17" t="str">
        <x:v>品牌标志、简称、主名称、副标题进入全站 Excel“设置”表。</x:v>
      </x:c>
      <x:c r="G103" s="17" t="str">
        <x:v>设置字段纳入Excel。</x:v>
      </x:c>
      <x:c r="H103" s="17" t="str">
        <x:v>✅ 已核验</x:v>
      </x:c>
      <x:c r="I103" s="17" t="str">
        <x:v>已有历史/自动验收证据；V2.0仍待用户逐项人工确认</x:v>
      </x:c>
      <x:c r="J103" s="17" t="str">
        <x:v>B-06</x:v>
      </x:c>
      <x:c r="K103" s="17" t="str">
        <x:v>【历史需求记录；非逐字聊天原文】品牌标志、简称、主名称、副标题进入全站 Excel“设置”表。</x:v>
      </x:c>
      <x:c r="L103" s="17" t="str">
        <x:v>是（继承/调整后保留）</x:v>
      </x:c>
      <x:c r="M103" s="17" t="str">
        <x:v>PASS</x:v>
      </x:c>
    </x:row>
    <x:row r="104" ht="62" customHeight="1">
      <x:c r="A104" s="17" t="str">
        <x:v>PM-100</x:v>
      </x:c>
      <x:c r="B104" s="17" t="str">
        <x:v>进度管理</x:v>
      </x:c>
      <x:c r="C104" s="17" t="str">
        <x:v>融合与扩展</x:v>
      </x:c>
      <x:c r="D104" s="17" t="str">
        <x:v>专项任务模块</x:v>
      </x:c>
      <x:c r="E104" s="17" t="str"/>
      <x:c r="F104" s="17" t="str">
        <x:v>把 GitHub project-progress-manager 原功能作为专项任务模块接入。</x:v>
      </x:c>
      <x:c r="G104" s="17" t="str">
        <x:v>在DO中嵌入专项任务能力，后续V2.0改为原代码内嵌。</x:v>
      </x:c>
      <x:c r="H104" s="17" t="str">
        <x:v>✅ 已核验</x:v>
      </x:c>
      <x:c r="I104" s="17" t="str">
        <x:v>已有历史/自动验收证据；V2.0仍待用户逐项人工确认</x:v>
      </x:c>
      <x:c r="J104" s="17" t="str">
        <x:v>N-14</x:v>
      </x:c>
      <x:c r="K104" s="17" t="str">
        <x:v>【历史需求记录；非逐字聊天原文】把 GitHub project-progress-manager 原功能作为专项任务模块接入。</x:v>
      </x:c>
      <x:c r="L104" s="17" t="str">
        <x:v>是（继承/调整后保留）</x:v>
      </x:c>
      <x:c r="M104" s="17" t="str">
        <x:v>PASS</x:v>
      </x:c>
    </x:row>
    <x:row r="105" ht="62" customHeight="1">
      <x:c r="A105" s="17" t="str">
        <x:v>PM-101</x:v>
      </x:c>
      <x:c r="B105" s="17" t="str">
        <x:v>进度管理</x:v>
      </x:c>
      <x:c r="C105" s="17" t="str">
        <x:v>融合与扩展</x:v>
      </x:c>
      <x:c r="D105" s="17" t="str">
        <x:v>头脑风暴入口</x:v>
      </x:c>
      <x:c r="E105" s="17" t="str"/>
      <x:c r="F105" s="17" t="str">
        <x:v>工作日志后新增头脑风暴，后续继续完善。</x:v>
      </x:c>
      <x:c r="G105" s="17" t="str">
        <x:v>新增导航入口，V2.0完整嵌入流程画布V1.13。</x:v>
      </x:c>
      <x:c r="H105" s="17" t="str">
        <x:v>✅ 已核验</x:v>
      </x:c>
      <x:c r="I105" s="17" t="str">
        <x:v>已有历史/自动验收证据；V2.0仍待用户逐项人工确认</x:v>
      </x:c>
      <x:c r="J105" s="17" t="str">
        <x:v>N-15</x:v>
      </x:c>
      <x:c r="K105" s="17" t="str">
        <x:v>【历史需求记录；非逐字聊天原文】工作日志后新增头脑风暴，后续继续完善。</x:v>
      </x:c>
      <x:c r="L105" s="17" t="str">
        <x:v>是（继承/调整后保留）</x:v>
      </x:c>
      <x:c r="M105" s="17" t="str">
        <x:v>PASS</x:v>
      </x:c>
    </x:row>
    <x:row r="106" ht="62" customHeight="1">
      <x:c r="A106" s="17" t="str">
        <x:v>PM-102</x:v>
      </x:c>
      <x:c r="B106" s="17" t="str">
        <x:v>进度管理</x:v>
      </x:c>
      <x:c r="C106" s="17" t="str">
        <x:v>视图体系</x:v>
      </x:c>
      <x:c r="D106" s="17" t="str">
        <x:v>今明分区视觉</x:v>
      </x:c>
      <x:c r="E106" s="17" t="str"/>
      <x:c r="F106" s="17" t="str">
        <x:v>上今天、下明天，中间分割线，左侧日期标识且颜色区分。</x:v>
      </x:c>
      <x:c r="G106" s="17" t="str">
        <x:v>今天/明天分区与颜色样式。</x:v>
      </x:c>
      <x:c r="H106" s="17" t="str">
        <x:v>✅ 已核验</x:v>
      </x:c>
      <x:c r="I106" s="17" t="str">
        <x:v>已有历史/自动验收证据；V2.0仍待用户逐项人工确认</x:v>
      </x:c>
      <x:c r="J106" s="17" t="str">
        <x:v>N-07</x:v>
      </x:c>
      <x:c r="K106" s="17" t="str">
        <x:v>【历史需求记录；非逐字聊天原文】上今天、下明天，中间分割线，左侧日期标识且颜色区分。</x:v>
      </x:c>
      <x:c r="L106" s="17" t="str">
        <x:v>是（继承/调整后保留）</x:v>
      </x:c>
      <x:c r="M106" s="17" t="str">
        <x:v>PASS</x:v>
      </x:c>
    </x:row>
    <x:row r="107" ht="62" customHeight="1">
      <x:c r="A107" s="17" t="str">
        <x:v>PM-103</x:v>
      </x:c>
      <x:c r="B107" s="17" t="str">
        <x:v>进度管理</x:v>
      </x:c>
      <x:c r="C107" s="17" t="str">
        <x:v>视图体系</x:v>
      </x:c>
      <x:c r="D107" s="17" t="str">
        <x:v>任务状态</x:v>
      </x:c>
      <x:c r="E107" s="17" t="str">
        <x:v>双击快速编辑</x:v>
      </x:c>
      <x:c r="F107" s="17" t="str">
        <x:v>四状态/日程中的用户任务文字双击可编辑。</x:v>
      </x:c>
      <x:c r="G107" s="17" t="str">
        <x:v>dblclick打开快速编辑并阻止单击逻辑。</x:v>
      </x:c>
      <x:c r="H107" s="17" t="str">
        <x:v>✅ 已核验</x:v>
      </x:c>
      <x:c r="I107" s="17" t="str">
        <x:v>已有历史/自动验收证据；V2.0仍待用户逐项人工确认</x:v>
      </x:c>
      <x:c r="J107" s="17" t="str">
        <x:v>3-13</x:v>
      </x:c>
      <x:c r="K107" s="17" t="str">
        <x:v>【历史需求记录；非逐字聊天原文】四状态/日程中的用户任务文字双击可编辑。</x:v>
      </x:c>
      <x:c r="L107" s="17" t="str">
        <x:v>是（继承/调整后保留）</x:v>
      </x:c>
      <x:c r="M107" s="17" t="str">
        <x:v>PASS</x:v>
      </x:c>
    </x:row>
    <x:row r="108" ht="62" customHeight="1">
      <x:c r="A108" s="17" t="str">
        <x:v>PM-104</x:v>
      </x:c>
      <x:c r="B108" s="17" t="str">
        <x:v>进度管理</x:v>
      </x:c>
      <x:c r="C108" s="17" t="str">
        <x:v>视图体系</x:v>
      </x:c>
      <x:c r="D108" s="17" t="str">
        <x:v>任务状态</x:v>
      </x:c>
      <x:c r="E108" s="17" t="str">
        <x:v>四状态四列</x:v>
      </x:c>
      <x:c r="F108" s="17" t="str">
        <x:v>四状态页按固定四列显示。</x:v>
      </x:c>
      <x:c r="G108" s="17" t="str">
        <x:v>状态看板四列；后续V2.0任务状态页扩展归档形成五状态表达。</x:v>
      </x:c>
      <x:c r="H108" s="17" t="str">
        <x:v>✅ 已核验</x:v>
      </x:c>
      <x:c r="I108" s="17" t="str">
        <x:v>已有历史/自动验收证据；V2.0仍待用户逐项人工确认</x:v>
      </x:c>
      <x:c r="J108" s="17" t="str">
        <x:v>3-06</x:v>
      </x:c>
      <x:c r="K108" s="17" t="str">
        <x:v>【历史需求记录；非逐字聊天原文】四状态页按固定四列显示。</x:v>
      </x:c>
      <x:c r="L108" s="17" t="str">
        <x:v>是（继承/调整后保留）</x:v>
      </x:c>
      <x:c r="M108" s="17" t="str">
        <x:v>PASS</x:v>
      </x:c>
    </x:row>
    <x:row r="109" ht="62" customHeight="1">
      <x:c r="A109" s="17" t="str">
        <x:v>PM-105</x:v>
      </x:c>
      <x:c r="B109" s="17" t="str">
        <x:v>进度管理</x:v>
      </x:c>
      <x:c r="C109" s="17" t="str">
        <x:v>视图体系</x:v>
      </x:c>
      <x:c r="D109" s="17" t="str">
        <x:v>任务状态</x:v>
      </x:c>
      <x:c r="E109" s="17" t="str">
        <x:v>字体大小</x:v>
      </x:c>
      <x:c r="F109" s="17" t="str">
        <x:v>四状态任务文字大小可调。</x:v>
      </x:c>
      <x:c r="G109" s="17" t="str">
        <x:v>字号设置。</x:v>
      </x:c>
      <x:c r="H109" s="17" t="str">
        <x:v>✅ 已核验</x:v>
      </x:c>
      <x:c r="I109" s="17" t="str">
        <x:v>已有历史/自动验收证据；V2.0仍待用户逐项人工确认</x:v>
      </x:c>
      <x:c r="J109" s="17" t="str">
        <x:v>3-10</x:v>
      </x:c>
      <x:c r="K109" s="17" t="str">
        <x:v>【历史需求记录；非逐字聊天原文】四状态任务文字大小可调。</x:v>
      </x:c>
      <x:c r="L109" s="17" t="str">
        <x:v>是（继承/调整后保留）</x:v>
      </x:c>
      <x:c r="M109" s="17" t="str">
        <x:v>PASS</x:v>
      </x:c>
    </x:row>
    <x:row r="110" ht="62" customHeight="1">
      <x:c r="A110" s="17" t="str">
        <x:v>PM-106</x:v>
      </x:c>
      <x:c r="B110" s="17" t="str">
        <x:v>进度管理</x:v>
      </x:c>
      <x:c r="C110" s="17" t="str">
        <x:v>视图体系</x:v>
      </x:c>
      <x:c r="D110" s="17" t="str">
        <x:v>任务状态</x:v>
      </x:c>
      <x:c r="E110" s="17" t="str">
        <x:v>完成待优化列更窄</x:v>
      </x:c>
      <x:c r="F110" s="17" t="str">
        <x:v>完成待优化列可适当缩窄。</x:v>
      </x:c>
      <x:c r="G110" s="17" t="str">
        <x:v>CSS列宽按2:2:2:1。</x:v>
      </x:c>
      <x:c r="H110" s="17" t="str">
        <x:v>✅ 已核验</x:v>
      </x:c>
      <x:c r="I110" s="17" t="str">
        <x:v>已有历史/自动验收证据；V2.0仍待用户逐项人工确认</x:v>
      </x:c>
      <x:c r="J110" s="17" t="str">
        <x:v>3-11</x:v>
      </x:c>
      <x:c r="K110" s="17" t="str">
        <x:v>【历史需求记录；非逐字聊天原文】完成待优化列可适当缩窄。</x:v>
      </x:c>
      <x:c r="L110" s="17" t="str">
        <x:v>是（继承/调整后保留）</x:v>
      </x:c>
      <x:c r="M110" s="17" t="str">
        <x:v>PASS</x:v>
      </x:c>
    </x:row>
    <x:row r="111" ht="62" customHeight="1">
      <x:c r="A111" s="17" t="str">
        <x:v>PM-107</x:v>
      </x:c>
      <x:c r="B111" s="17" t="str">
        <x:v>进度管理</x:v>
      </x:c>
      <x:c r="C111" s="17" t="str">
        <x:v>视图体系</x:v>
      </x:c>
      <x:c r="D111" s="17" t="str">
        <x:v>任务状态</x:v>
      </x:c>
      <x:c r="E111" s="17" t="str">
        <x:v>按分类分组</x:v>
      </x:c>
      <x:c r="F111" s="17" t="str">
        <x:v>四状态页按分类对任务进行分组。</x:v>
      </x:c>
      <x:c r="G111" s="17" t="str">
        <x:v>每列按category分组。</x:v>
      </x:c>
      <x:c r="H111" s="17" t="str">
        <x:v>✅ 已核验</x:v>
      </x:c>
      <x:c r="I111" s="17" t="str">
        <x:v>已有历史/自动验收证据；V2.0仍待用户逐项人工确认</x:v>
      </x:c>
      <x:c r="J111" s="17" t="str">
        <x:v>3-08</x:v>
      </x:c>
      <x:c r="K111" s="17" t="str">
        <x:v>【历史需求记录；非逐字聊天原文】四状态页按分类对任务进行分组。</x:v>
      </x:c>
      <x:c r="L111" s="17" t="str">
        <x:v>是（继承/调整后保留）</x:v>
      </x:c>
      <x:c r="M111" s="17" t="str">
        <x:v>PASS</x:v>
      </x:c>
    </x:row>
    <x:row r="112" ht="62" customHeight="1">
      <x:c r="A112" s="17" t="str">
        <x:v>PM-108</x:v>
      </x:c>
      <x:c r="B112" s="17" t="str">
        <x:v>进度管理</x:v>
      </x:c>
      <x:c r="C112" s="17" t="str">
        <x:v>视图体系</x:v>
      </x:c>
      <x:c r="D112" s="17" t="str">
        <x:v>任务状态</x:v>
      </x:c>
      <x:c r="E112" s="17" t="str">
        <x:v>每列显示数</x:v>
      </x:c>
      <x:c r="F112" s="17" t="str">
        <x:v>默认 15 条，并允许用户自由设置。</x:v>
      </x:c>
      <x:c r="G112" s="17" t="str">
        <x:v>每列limit 10/15/30/全部，默认15。</x:v>
      </x:c>
      <x:c r="H112" s="17" t="str">
        <x:v>✅ 已核验</x:v>
      </x:c>
      <x:c r="I112" s="17" t="str">
        <x:v>已有历史/自动验收证据；V2.0仍待用户逐项人工确认</x:v>
      </x:c>
      <x:c r="J112" s="17" t="str">
        <x:v>3-09</x:v>
      </x:c>
      <x:c r="K112" s="17" t="str">
        <x:v>【历史需求记录；非逐字聊天原文】默认 15 条，并允许用户自由设置。</x:v>
      </x:c>
      <x:c r="L112" s="17" t="str">
        <x:v>是（继承/调整后保留）</x:v>
      </x:c>
      <x:c r="M112" s="17" t="str">
        <x:v>PASS</x:v>
      </x:c>
    </x:row>
    <x:row r="113" ht="62" customHeight="1">
      <x:c r="A113" s="17" t="str">
        <x:v>PM-109</x:v>
      </x:c>
      <x:c r="B113" s="17" t="str">
        <x:v>进度管理</x:v>
      </x:c>
      <x:c r="C113" s="17" t="str">
        <x:v>视图体系</x:v>
      </x:c>
      <x:c r="D113" s="17" t="str">
        <x:v>任务状态</x:v>
      </x:c>
      <x:c r="E113" s="17" t="str">
        <x:v>每项一行</x:v>
      </x:c>
      <x:c r="F113" s="17" t="str">
        <x:v>四状态页每项任务只显示一行。</x:v>
      </x:c>
      <x:c r="G113" s="17" t="str">
        <x:v>状态卡紧凑单行。</x:v>
      </x:c>
      <x:c r="H113" s="17" t="str">
        <x:v>✅ 已核验</x:v>
      </x:c>
      <x:c r="I113" s="17" t="str">
        <x:v>已有历史/自动验收证据；V2.0仍待用户逐项人工确认</x:v>
      </x:c>
      <x:c r="J113" s="17" t="str">
        <x:v>3-07</x:v>
      </x:c>
      <x:c r="K113" s="17" t="str">
        <x:v>【历史需求记录；非逐字聊天原文】四状态页每项任务只显示一行。</x:v>
      </x:c>
      <x:c r="L113" s="17" t="str">
        <x:v>是（继承/调整后保留）</x:v>
      </x:c>
      <x:c r="M113" s="17" t="str">
        <x:v>PASS</x:v>
      </x:c>
    </x:row>
    <x:row r="114" ht="62" customHeight="1">
      <x:c r="A114" s="17" t="str">
        <x:v>PM-110</x:v>
      </x:c>
      <x:c r="B114" s="17" t="str">
        <x:v>进度管理</x:v>
      </x:c>
      <x:c r="C114" s="17" t="str">
        <x:v>视图体系</x:v>
      </x:c>
      <x:c r="D114" s="17" t="str">
        <x:v>任务状态</x:v>
      </x:c>
      <x:c r="E114" s="17" t="str">
        <x:v>点击任务看详情</x:v>
      </x:c>
      <x:c r="F114" s="17" t="str">
        <x:v>四状态任务点击后进入详情并可修改状态。</x:v>
      </x:c>
      <x:c r="G114" s="17" t="str">
        <x:v>后续改为单击推进状态、双击编辑，不再跳转详情页。</x:v>
      </x:c>
      <x:c r="H114" s="17" t="str">
        <x:v>⚠ 已替代/取消</x:v>
      </x:c>
      <x:c r="I114" s="17" t="str">
        <x:v>与后续更新需求冲突或被重新定义，保留历史但不作为V2.0现行验收目标</x:v>
      </x:c>
      <x:c r="J114" s="17" t="str">
        <x:v>3-12</x:v>
      </x:c>
      <x:c r="K114" s="17" t="str">
        <x:v>【历史需求记录；非逐字聊天原文】四状态任务点击后进入详情并可修改状态。</x:v>
      </x:c>
      <x:c r="L114" s="17" t="str">
        <x:v>否/部分（由后续需求替代）</x:v>
      </x:c>
      <x:c r="M114" s="17" t="str">
        <x:v>SUPERSEDED</x:v>
      </x:c>
    </x:row>
    <x:row r="115" ht="62" customHeight="1">
      <x:c r="A115" s="17" t="str">
        <x:v>PM-111</x:v>
      </x:c>
      <x:c r="B115" s="17" t="str">
        <x:v>进度管理</x:v>
      </x:c>
      <x:c r="C115" s="17" t="str">
        <x:v>视图体系</x:v>
      </x:c>
      <x:c r="D115" s="17" t="str">
        <x:v>任务第二行细节</x:v>
      </x:c>
      <x:c r="E115" s="17" t="str"/>
      <x:c r="F115" s="17" t="str">
        <x:v>显示我的一天、类别、第x步共y步、日期、重复、备注等简洁元信息。</x:v>
      </x:c>
      <x:c r="G115" s="17" t="str">
        <x:v>元信息按存在字段动态组合。</x:v>
      </x:c>
      <x:c r="H115" s="17" t="str">
        <x:v>✅ 已核验</x:v>
      </x:c>
      <x:c r="I115" s="17" t="str">
        <x:v>已有历史/自动验收证据；V2.0仍待用户逐项人工确认</x:v>
      </x:c>
      <x:c r="J115" s="17" t="str">
        <x:v>N-04</x:v>
      </x:c>
      <x:c r="K115" s="17" t="str">
        <x:v>【历史需求记录；非逐字聊天原文】显示我的一天、类别、第x步共y步、日期、重复、备注等简洁元信息。</x:v>
      </x:c>
      <x:c r="L115" s="17" t="str">
        <x:v>是（继承/调整后保留）</x:v>
      </x:c>
      <x:c r="M115" s="17" t="str">
        <x:v>PASS</x:v>
      </x:c>
    </x:row>
    <x:row r="116" ht="62" customHeight="1">
      <x:c r="A116" s="17" t="str">
        <x:v>PM-112</x:v>
      </x:c>
      <x:c r="B116" s="17" t="str">
        <x:v>进度管理</x:v>
      </x:c>
      <x:c r="C116" s="17" t="str">
        <x:v>视图体系</x:v>
      </x:c>
      <x:c r="D116" s="17" t="str">
        <x:v>全部任务 To Do 分组</x:v>
      </x:c>
      <x:c r="E116" s="17" t="str"/>
      <x:c r="F116" s="17" t="str">
        <x:v>全部任务按今天/明天/近期日期段/稍后分组。</x:v>
      </x:c>
      <x:c r="G116" s="17" t="str">
        <x:v>按dueDate生成计划分组。</x:v>
      </x:c>
      <x:c r="H116" s="17" t="str">
        <x:v>✅ 已核验</x:v>
      </x:c>
      <x:c r="I116" s="17" t="str">
        <x:v>已有历史/自动验收证据；V2.0仍待用户逐项人工确认</x:v>
      </x:c>
      <x:c r="J116" s="17" t="str">
        <x:v>N-02</x:v>
      </x:c>
      <x:c r="K116" s="17" t="str">
        <x:v>【历史需求记录；非逐字聊天原文】全部任务按今天/明天/近期日期段/稍后分组。</x:v>
      </x:c>
      <x:c r="L116" s="17" t="str">
        <x:v>是（继承/调整后保留）</x:v>
      </x:c>
      <x:c r="M116" s="17" t="str">
        <x:v>PASS</x:v>
      </x:c>
    </x:row>
    <x:row r="117" ht="62" customHeight="1">
      <x:c r="A117" s="17" t="str">
        <x:v>PM-113</x:v>
      </x:c>
      <x:c r="B117" s="17" t="str">
        <x:v>进度管理</x:v>
      </x:c>
      <x:c r="C117" s="17" t="str">
        <x:v>视图体系</x:v>
      </x:c>
      <x:c r="D117" s="17" t="str">
        <x:v>分组数量与折叠</x:v>
      </x:c>
      <x:c r="E117" s="17" t="str"/>
      <x:c r="F117" s="17" t="str">
        <x:v>每组显示任务数量并支持折叠/展开。</x:v>
      </x:c>
      <x:c r="G117" s="17" t="str">
        <x:v>分组计数+折叠状态持久化。</x:v>
      </x:c>
      <x:c r="H117" s="17" t="str">
        <x:v>✅ 已核验</x:v>
      </x:c>
      <x:c r="I117" s="17" t="str">
        <x:v>已有历史/自动验收证据；V2.0仍待用户逐项人工确认</x:v>
      </x:c>
      <x:c r="J117" s="17" t="str">
        <x:v>N-03</x:v>
      </x:c>
      <x:c r="K117" s="17" t="str">
        <x:v>【历史需求记录；非逐字聊天原文】每组显示任务数量并支持折叠/展开。</x:v>
      </x:c>
      <x:c r="L117" s="17" t="str">
        <x:v>是（继承/调整后保留）</x:v>
      </x:c>
      <x:c r="M117" s="17" t="str">
        <x:v>PASS</x:v>
      </x:c>
    </x:row>
    <x:row r="118" ht="62" customHeight="1">
      <x:c r="A118" s="17" t="str">
        <x:v>PM-114</x:v>
      </x:c>
      <x:c r="B118" s="17" t="str">
        <x:v>进度管理</x:v>
      </x:c>
      <x:c r="C118" s="17" t="str">
        <x:v>视图体系</x:v>
      </x:c>
      <x:c r="D118" s="17" t="str">
        <x:v>四状态列宽</x:v>
      </x:c>
      <x:c r="E118" s="17" t="str"/>
      <x:c r="F118" s="17" t="str">
        <x:v>前三列与完成待优化列宽比 2:2:2:1。</x:v>
      </x:c>
      <x:c r="G118" s="17" t="str">
        <x:v>CSS grid-template-columns:2fr 2fr 2fr 1fr。</x:v>
      </x:c>
      <x:c r="H118" s="17" t="str">
        <x:v>✅ 已核验</x:v>
      </x:c>
      <x:c r="I118" s="17" t="str">
        <x:v>已有历史/自动验收证据；V2.0仍待用户逐项人工确认</x:v>
      </x:c>
      <x:c r="J118" s="17" t="str">
        <x:v>N-08</x:v>
      </x:c>
      <x:c r="K118" s="17" t="str">
        <x:v>【历史需求记录；非逐字聊天原文】前三列与完成待优化列宽比 2:2:2:1。</x:v>
      </x:c>
      <x:c r="L118" s="17" t="str">
        <x:v>是（继承/调整后保留）</x:v>
      </x:c>
      <x:c r="M118" s="17" t="str">
        <x:v>PASS</x:v>
      </x:c>
    </x:row>
    <x:row r="119" ht="62" customHeight="1">
      <x:c r="A119" s="17" t="str">
        <x:v>PM-115</x:v>
      </x:c>
      <x:c r="B119" s="17" t="str">
        <x:v>进度管理</x:v>
      </x:c>
      <x:c r="C119" s="17" t="str">
        <x:v>视图体系</x:v>
      </x:c>
      <x:c r="D119" s="17" t="str">
        <x:v>四状态单击推进</x:v>
      </x:c>
      <x:c r="E119" s="17" t="str"/>
      <x:c r="F119" s="17" t="str">
        <x:v>未开展→进行中→已完成→完成待优化。</x:v>
      </x:c>
      <x:c r="G119" s="17" t="str">
        <x:v>advanceTaskStatus状态机。</x:v>
      </x:c>
      <x:c r="H119" s="17" t="str">
        <x:v>✅ 已核验</x:v>
      </x:c>
      <x:c r="I119" s="17" t="str">
        <x:v>已有历史/自动验收证据；V2.0仍待用户逐项人工确认</x:v>
      </x:c>
      <x:c r="J119" s="17" t="str">
        <x:v>N-09</x:v>
      </x:c>
      <x:c r="K119" s="17" t="str">
        <x:v>【历史需求记录；非逐字聊天原文】未开展→进行中→已完成→完成待优化。</x:v>
      </x:c>
      <x:c r="L119" s="17" t="str">
        <x:v>是（继承/调整后保留）</x:v>
      </x:c>
      <x:c r="M119" s="17" t="str">
        <x:v>PASS</x:v>
      </x:c>
    </x:row>
    <x:row r="120" ht="62" customHeight="1">
      <x:c r="A120" s="17" t="str">
        <x:v>PM-116</x:v>
      </x:c>
      <x:c r="B120" s="17" t="str">
        <x:v>进度管理</x:v>
      </x:c>
      <x:c r="C120" s="17" t="str">
        <x:v>视图体系</x:v>
      </x:c>
      <x:c r="D120" s="17" t="str">
        <x:v>四状态双击编辑</x:v>
      </x:c>
      <x:c r="E120" s="17" t="str"/>
      <x:c r="F120" s="17" t="str">
        <x:v>双击直接编辑，不跳转我的一天/全部任务。</x:v>
      </x:c>
      <x:c r="G120" s="17" t="str">
        <x:v>dblclick打开编辑器，阻止单击跳页。</x:v>
      </x:c>
      <x:c r="H120" s="17" t="str">
        <x:v>✅ 已核验</x:v>
      </x:c>
      <x:c r="I120" s="17" t="str">
        <x:v>已有历史/自动验收证据；V2.0仍待用户逐项人工确认</x:v>
      </x:c>
      <x:c r="J120" s="17" t="str">
        <x:v>N-10</x:v>
      </x:c>
      <x:c r="K120" s="17" t="str">
        <x:v>【历史需求记录；非逐字聊天原文】双击直接编辑，不跳转我的一天/全部任务。</x:v>
      </x:c>
      <x:c r="L120" s="17" t="str">
        <x:v>是（继承/调整后保留）</x:v>
      </x:c>
      <x:c r="M120" s="17" t="str">
        <x:v>PASS</x:v>
      </x:c>
    </x:row>
    <x:row r="121" ht="62" customHeight="1">
      <x:c r="A121" s="17" t="str">
        <x:v>PM-117</x:v>
      </x:c>
      <x:c r="B121" s="17" t="str">
        <x:v>进度管理</x:v>
      </x:c>
      <x:c r="C121" s="17" t="str">
        <x:v>视图体系</x:v>
      </x:c>
      <x:c r="D121" s="17" t="str">
        <x:v>四状态只看今明</x:v>
      </x:c>
      <x:c r="E121" s="17" t="str"/>
      <x:c r="F121" s="17" t="str">
        <x:v>四状态只展示今天和明天的任务。</x:v>
      </x:c>
      <x:c r="G121" s="17" t="str">
        <x:v>按dueDate过滤今明。</x:v>
      </x:c>
      <x:c r="H121" s="17" t="str">
        <x:v>✅ 已核验</x:v>
      </x:c>
      <x:c r="I121" s="17" t="str">
        <x:v>已有历史/自动验收证据；V2.0仍待用户逐项人工确认</x:v>
      </x:c>
      <x:c r="J121" s="17" t="str">
        <x:v>N-06</x:v>
      </x:c>
      <x:c r="K121" s="17" t="str">
        <x:v>【历史需求记录；非逐字聊天原文】四状态只展示今天和明天的任务。</x:v>
      </x:c>
      <x:c r="L121" s="17" t="str">
        <x:v>是（继承/调整后保留）</x:v>
      </x:c>
      <x:c r="M121" s="17" t="str">
        <x:v>PASS</x:v>
      </x:c>
    </x:row>
    <x:row r="122" ht="62" customHeight="1">
      <x:c r="A122" s="17" t="str">
        <x:v>PM-118</x:v>
      </x:c>
      <x:c r="B122" s="17" t="str">
        <x:v>进度管理</x:v>
      </x:c>
      <x:c r="C122" s="17" t="str">
        <x:v>视图体系</x:v>
      </x:c>
      <x:c r="D122" s="17" t="str">
        <x:v>我的一天</x:v>
      </x:c>
      <x:c r="E122" s="17" t="str"/>
      <x:c r="F122" s="17" t="str">
        <x:v>原“今天”统一改名为“我的一天”。</x:v>
      </x:c>
      <x:c r="G122" s="17" t="str">
        <x:v>导航和页面标题统一。</x:v>
      </x:c>
      <x:c r="H122" s="17" t="str">
        <x:v>✅ 已核验</x:v>
      </x:c>
      <x:c r="I122" s="17" t="str">
        <x:v>已有历史/自动验收证据；V2.0仍待用户逐项人工确认</x:v>
      </x:c>
      <x:c r="J122" s="17" t="str">
        <x:v>N-01</x:v>
      </x:c>
      <x:c r="K122" s="17" t="str">
        <x:v>【历史需求记录；非逐字聊天原文】原“今天”统一改名为“我的一天”。</x:v>
      </x:c>
      <x:c r="L122" s="17" t="str">
        <x:v>是（继承/调整后保留）</x:v>
      </x:c>
      <x:c r="M122" s="17" t="str">
        <x:v>PASS</x:v>
      </x:c>
    </x:row>
    <x:row r="123" ht="62" customHeight="1">
      <x:c r="A123" s="17" t="str">
        <x:v>PM-119</x:v>
      </x:c>
      <x:c r="B123" s="17" t="str">
        <x:v>进度管理</x:v>
      </x:c>
      <x:c r="C123" s="17" t="str">
        <x:v>视图体系</x:v>
      </x:c>
      <x:c r="D123" s="17" t="str">
        <x:v>日期文案</x:v>
      </x:c>
      <x:c r="E123" s="17" t="str"/>
      <x:c r="F123" s="17" t="str">
        <x:v>任务日期采用今天/明天/月日+星期等易读格式。</x:v>
      </x:c>
      <x:c r="G123" s="17" t="str">
        <x:v>格式化日期标签。</x:v>
      </x:c>
      <x:c r="H123" s="17" t="str">
        <x:v>✅ 已核验</x:v>
      </x:c>
      <x:c r="I123" s="17" t="str">
        <x:v>已有历史/自动验收证据；V2.0仍待用户逐项人工确认</x:v>
      </x:c>
      <x:c r="J123" s="17" t="str">
        <x:v>N-05</x:v>
      </x:c>
      <x:c r="K123" s="17" t="str">
        <x:v>【历史需求记录；非逐字聊天原文】任务日期采用今天/明天/月日+星期等易读格式。</x:v>
      </x:c>
      <x:c r="L123" s="17" t="str">
        <x:v>是（继承/调整后保留）</x:v>
      </x:c>
      <x:c r="M123" s="17" t="str">
        <x:v>PASS</x:v>
      </x:c>
    </x:row>
    <x:row r="124" ht="62" customHeight="1">
      <x:c r="A124" s="17" t="str">
        <x:v>PM-120</x:v>
      </x:c>
      <x:c r="B124" s="17" t="str">
        <x:v>进度管理</x:v>
      </x:c>
      <x:c r="C124" s="17" t="str">
        <x:v>视图体系</x:v>
      </x:c>
      <x:c r="D124" s="17" t="str">
        <x:v>日程</x:v>
      </x:c>
      <x:c r="E124" s="17" t="str">
        <x:v>主任务和子任务</x:v>
      </x:c>
      <x:c r="F124" s="17" t="str">
        <x:v>日程同时显示主任务和子任务。</x:v>
      </x:c>
      <x:c r="G124" s="17" t="str">
        <x:v>日历数据源合并主任务/子任务。</x:v>
      </x:c>
      <x:c r="H124" s="17" t="str">
        <x:v>✅ 已核验</x:v>
      </x:c>
      <x:c r="I124" s="17" t="str">
        <x:v>已有历史/自动验收证据；V2.0仍待用户逐项人工确认</x:v>
      </x:c>
      <x:c r="J124" s="17" t="str">
        <x:v>3-05</x:v>
      </x:c>
      <x:c r="K124" s="17" t="str">
        <x:v>【历史需求记录；非逐字聊天原文】日程同时显示主任务和子任务。</x:v>
      </x:c>
      <x:c r="L124" s="17" t="str">
        <x:v>是（继承/调整后保留）</x:v>
      </x:c>
      <x:c r="M124" s="17" t="str">
        <x:v>PASS</x:v>
      </x:c>
    </x:row>
    <x:row r="125" ht="62" customHeight="1">
      <x:c r="A125" s="17" t="str">
        <x:v>PM-121</x:v>
      </x:c>
      <x:c r="B125" s="17" t="str">
        <x:v>进度管理</x:v>
      </x:c>
      <x:c r="C125" s="17" t="str">
        <x:v>视图体系</x:v>
      </x:c>
      <x:c r="D125" s="17" t="str">
        <x:v>日程</x:v>
      </x:c>
      <x:c r="E125" s="17" t="str">
        <x:v>当天高亮</x:v>
      </x:c>
      <x:c r="F125" s="17" t="str">
        <x:v>日程中今天明显高亮。</x:v>
      </x:c>
      <x:c r="G125" s="17" t="str">
        <x:v>today样式高亮。</x:v>
      </x:c>
      <x:c r="H125" s="17" t="str">
        <x:v>✅ 已核验</x:v>
      </x:c>
      <x:c r="I125" s="17" t="str">
        <x:v>已有历史/自动验收证据；V2.0仍待用户逐项人工确认</x:v>
      </x:c>
      <x:c r="J125" s="17" t="str">
        <x:v>3-03</x:v>
      </x:c>
      <x:c r="K125" s="17" t="str">
        <x:v>【历史需求记录；非逐字聊天原文】日程中今天明显高亮。</x:v>
      </x:c>
      <x:c r="L125" s="17" t="str">
        <x:v>是（继承/调整后保留）</x:v>
      </x:c>
      <x:c r="M125" s="17" t="str">
        <x:v>PASS</x:v>
      </x:c>
    </x:row>
    <x:row r="126" ht="62" customHeight="1">
      <x:c r="A126" s="17" t="str">
        <x:v>PM-122</x:v>
      </x:c>
      <x:c r="B126" s="17" t="str">
        <x:v>进度管理</x:v>
      </x:c>
      <x:c r="C126" s="17" t="str">
        <x:v>视图体系</x:v>
      </x:c>
      <x:c r="D126" s="17" t="str">
        <x:v>日程</x:v>
      </x:c>
      <x:c r="E126" s="17" t="str">
        <x:v>按日期添加</x:v>
      </x:c>
      <x:c r="F126" s="17" t="str">
        <x:v>每个日期支持“+”直接安排任务。</x:v>
      </x:c>
      <x:c r="G126" s="17" t="str">
        <x:v>日期单元格快速创建并赋dueDate。</x:v>
      </x:c>
      <x:c r="H126" s="17" t="str">
        <x:v>✅ 已核验</x:v>
      </x:c>
      <x:c r="I126" s="17" t="str">
        <x:v>已有历史/自动验收证据；V2.0仍待用户逐项人工确认</x:v>
      </x:c>
      <x:c r="J126" s="17" t="str">
        <x:v>3-04</x:v>
      </x:c>
      <x:c r="K126" s="17" t="str">
        <x:v>【历史需求记录；非逐字聊天原文】每个日期支持“+”直接安排任务。</x:v>
      </x:c>
      <x:c r="L126" s="17" t="str">
        <x:v>是（继承/调整后保留）</x:v>
      </x:c>
      <x:c r="M126" s="17" t="str">
        <x:v>PASS</x:v>
      </x:c>
    </x:row>
    <x:row r="127" ht="62" customHeight="1">
      <x:c r="A127" s="17" t="str">
        <x:v>PM-123</x:v>
      </x:c>
      <x:c r="B127" s="17" t="str">
        <x:v>进度管理</x:v>
      </x:c>
      <x:c r="C127" s="17" t="str">
        <x:v>视图体系</x:v>
      </x:c>
      <x:c r="D127" s="17" t="str">
        <x:v>日程</x:v>
      </x:c>
      <x:c r="E127" s="17" t="str">
        <x:v>日程三视图</x:v>
      </x:c>
      <x:c r="F127" s="17" t="str">
        <x:v>按日/周/月查看已安排任务和子任务。</x:v>
      </x:c>
      <x:c r="G127" s="17" t="str">
        <x:v>日历提供day/week/month三种视图。</x:v>
      </x:c>
      <x:c r="H127" s="17" t="str">
        <x:v>✅ 已核验</x:v>
      </x:c>
      <x:c r="I127" s="17" t="str">
        <x:v>已有历史/自动验收证据；V2.0仍待用户逐项人工确认</x:v>
      </x:c>
      <x:c r="J127" s="17" t="str">
        <x:v>3-01</x:v>
      </x:c>
      <x:c r="K127" s="17" t="str">
        <x:v>【历史需求记录；非逐字聊天原文】按日/周/月查看已安排任务和子任务。</x:v>
      </x:c>
      <x:c r="L127" s="17" t="str">
        <x:v>是（继承/调整后保留）</x:v>
      </x:c>
      <x:c r="M127" s="17" t="str">
        <x:v>PASS</x:v>
      </x:c>
    </x:row>
    <x:row r="128" ht="62" customHeight="1">
      <x:c r="A128" s="17" t="str">
        <x:v>PM-124</x:v>
      </x:c>
      <x:c r="B128" s="17" t="str">
        <x:v>进度管理</x:v>
      </x:c>
      <x:c r="C128" s="17" t="str">
        <x:v>视图体系</x:v>
      </x:c>
      <x:c r="D128" s="17" t="str">
        <x:v>日程</x:v>
      </x:c>
      <x:c r="E128" s="17" t="str">
        <x:v>日程导航</x:v>
      </x:c>
      <x:c r="F128" s="17" t="str">
        <x:v>支持上一周期 / 今天 / 下一周期。</x:v>
      </x:c>
      <x:c r="G128" s="17" t="str">
        <x:v>日历周期导航。</x:v>
      </x:c>
      <x:c r="H128" s="17" t="str">
        <x:v>✅ 已核验</x:v>
      </x:c>
      <x:c r="I128" s="17" t="str">
        <x:v>已有历史/自动验收证据；V2.0仍待用户逐项人工确认</x:v>
      </x:c>
      <x:c r="J128" s="17" t="str">
        <x:v>3-02</x:v>
      </x:c>
      <x:c r="K128" s="17" t="str">
        <x:v>【历史需求记录；非逐字聊天原文】支持上一周期 / 今天 / 下一周期。</x:v>
      </x:c>
      <x:c r="L128" s="17" t="str">
        <x:v>是（继承/调整后保留）</x:v>
      </x:c>
      <x:c r="M128" s="17" t="str">
        <x:v>PASS</x:v>
      </x:c>
    </x:row>
    <x:row r="129" ht="62" customHeight="1">
      <x:c r="A129" s="17" t="str">
        <x:v>SP-001</x:v>
      </x:c>
      <x:c r="B129" s="17" t="str">
        <x:v>专项任务</x:v>
      </x:c>
      <x:c r="C129" s="17" t="str">
        <x:v>V2.0融合要求</x:v>
      </x:c>
      <x:c r="D129" s="17" t="str">
        <x:v>完整迁移/离线</x:v>
      </x:c>
      <x:c r="E129" s="17" t="str"/>
      <x:c r="F129" s="17" t="str">
        <x:v>同一融合原则也要求专项任务保持原版本完整能力，不使用运行时外链替代。</x:v>
      </x:c>
      <x:c r="G129" s="17" t="str">
        <x:v>专项任务V1.4.1完整负载嵌入V2.0单文件；核心本地功能无网络请求。</x:v>
      </x:c>
      <x:c r="H129" s="17" t="str">
        <x:v>✅ 已核验</x:v>
      </x:c>
      <x:c r="I129" s="17" t="str">
        <x:v>V2.0专项任务启动、本地新增、项目标签均自动通过；用户最终人工验收待确认</x:v>
      </x:c>
      <x:c r="J129" s="17" t="str">
        <x:v>SX-02</x:v>
      </x:c>
      <x:c r="K129" s="17" t="str">
        <x:v>【可核对聊天原文】将头脑风暴的v1.13版本的全部内容功能、代码，原文迁移到进度管理的头脑风暴模块下面，画布的全部模块功能/代码原文</x:v>
      </x:c>
      <x:c r="L129" s="17" t="str">
        <x:v>是（V2.0）</x:v>
      </x:c>
      <x:c r="M129" s="17" t="str">
        <x:v>PASS</x:v>
      </x:c>
    </x:row>
    <x:row r="130" ht="62" customHeight="1">
      <x:c r="A130" s="17" t="str">
        <x:v>SP-002</x:v>
      </x:c>
      <x:c r="B130" s="17" t="str">
        <x:v>专项任务</x:v>
      </x:c>
      <x:c r="C130" s="17" t="str">
        <x:v>V2.0融合要求</x:v>
      </x:c>
      <x:c r="D130" s="17" t="str">
        <x:v>模块融合/统一账号</x:v>
      </x:c>
      <x:c r="E130" s="17" t="str"/>
      <x:c r="F130" s="17" t="str">
        <x:v>专项任务V1.4.1必须完整迁移，不能简化；最终联机只保留外层一个账号。</x:v>
      </x:c>
      <x:c r="G130" s="17" t="str">
        <x:v>将专项任务HTML/CSS/JS/依赖完整内嵌；本地隐藏旧独立云入口；联机阶段统一DO账号。</x:v>
      </x:c>
      <x:c r="H130" s="17" t="str">
        <x:v>⏳ 联机待验收</x:v>
      </x:c>
      <x:c r="I130" s="17" t="str">
        <x:v>完整代码内嵌已自动验收；单账号真实联机流程待正式发布验收</x:v>
      </x:c>
      <x:c r="J130" s="17" t="str">
        <x:v>SX-01</x:v>
      </x:c>
      <x:c r="K130" s="17" t="str">
        <x:v>【可核对聊天原文】你只需要把代码完全迁移过来，账号的融合到一块就可以了。就是一个整个网页只有一个账号。这个账号也就是以前我设置的这个原账号。</x:v>
      </x:c>
      <x:c r="L130" s="17" t="str">
        <x:v>联机阶段</x:v>
      </x:c>
      <x:c r="M130" s="17" t="str">
        <x:v>ONLINE</x:v>
      </x:c>
    </x:row>
    <x:row r="131" ht="62" customHeight="1">
      <x:c r="A131" s="17" t="str">
        <x:v>SP-003</x:v>
      </x:c>
      <x:c r="B131" s="17" t="str">
        <x:v>专项任务</x:v>
      </x:c>
      <x:c r="C131" s="17" t="str">
        <x:v>云端协作与安全</x:v>
      </x:c>
      <x:c r="D131" s="17" t="str">
        <x:v>账号/版本/冲突/RLS</x:v>
      </x:c>
      <x:c r="E131" s="17" t="str">
        <x:v>Supabase 注册登录</x:v>
      </x:c>
      <x:c r="F131" s="17" t="str">
        <x:v>邮箱注册、确认邮件、登录；与最外层 DO 登录共用同一账号体系。</x:v>
      </x:c>
      <x:c r="G131" s="17" t="str">
        <x:v>Supabase Auth并统一外层账号。</x:v>
      </x:c>
      <x:c r="H131" s="17" t="str">
        <x:v>⏳ 联机待验收</x:v>
      </x:c>
      <x:c r="I131" s="17" t="str">
        <x:v>本地V2.0隐藏旧专项云入口；真实邮箱、共享、历史版本、冲突等需联机发布后端到端测试</x:v>
      </x:c>
      <x:c r="J131" s="17" t="str">
        <x:v>S-19</x:v>
      </x:c>
      <x:c r="K131" s="17" t="str">
        <x:v>【历史需求记录；非逐字聊天原文】邮箱注册、确认邮件、登录；与最外层 DO 登录共用同一账号体系。</x:v>
      </x:c>
      <x:c r="L131" s="17" t="str">
        <x:v>联机阶段</x:v>
      </x:c>
      <x:c r="M131" s="17" t="str">
        <x:v>ONLINE</x:v>
      </x:c>
    </x:row>
    <x:row r="132" ht="62" customHeight="1">
      <x:c r="A132" s="17" t="str">
        <x:v>SP-004</x:v>
      </x:c>
      <x:c r="B132" s="17" t="str">
        <x:v>专项任务</x:v>
      </x:c>
      <x:c r="C132" s="17" t="str">
        <x:v>云端协作与安全</x:v>
      </x:c>
      <x:c r="D132" s="17" t="str">
        <x:v>账号/版本/冲突/RLS</x:v>
      </x:c>
      <x:c r="E132" s="17" t="str">
        <x:v>云端保存</x:v>
      </x:c>
      <x:c r="F132" s="17" t="str">
        <x:v>选择协作项目后同时保存到 Supabase。</x:v>
      </x:c>
      <x:c r="G132" s="17" t="str">
        <x:v>云端持久化。</x:v>
      </x:c>
      <x:c r="H132" s="17" t="str">
        <x:v>⏳ 联机待验收</x:v>
      </x:c>
      <x:c r="I132" s="17" t="str">
        <x:v>本地V2.0隐藏旧专项云入口；真实邮箱、共享、历史版本、冲突等需联机发布后端到端测试</x:v>
      </x:c>
      <x:c r="J132" s="17" t="str">
        <x:v>S-22</x:v>
      </x:c>
      <x:c r="K132" s="17" t="str">
        <x:v>【历史需求记录；非逐字聊天原文】选择协作项目后同时保存到 Supabase。</x:v>
      </x:c>
      <x:c r="L132" s="17" t="str">
        <x:v>联机阶段</x:v>
      </x:c>
      <x:c r="M132" s="17" t="str">
        <x:v>ONLINE</x:v>
      </x:c>
    </x:row>
    <x:row r="133" ht="62" customHeight="1">
      <x:c r="A133" s="17" t="str">
        <x:v>SP-005</x:v>
      </x:c>
      <x:c r="B133" s="17" t="str">
        <x:v>专项任务</x:v>
      </x:c>
      <x:c r="C133" s="17" t="str">
        <x:v>云端协作与安全</x:v>
      </x:c>
      <x:c r="D133" s="17" t="str">
        <x:v>账号/版本/冲突/RLS</x:v>
      </x:c>
      <x:c r="E133" s="17" t="str">
        <x:v>共享码协作</x:v>
      </x:c>
      <x:c r="F133" s="17" t="str">
        <x:v>每人使用自己的账号，通过共享码加入同一云端项目。</x:v>
      </x:c>
      <x:c r="G133" s="17" t="str">
        <x:v>共享码→协作项目成员关系。</x:v>
      </x:c>
      <x:c r="H133" s="17" t="str">
        <x:v>⏳ 联机待验收</x:v>
      </x:c>
      <x:c r="I133" s="17" t="str">
        <x:v>本地V2.0隐藏旧专项云入口；真实邮箱、共享、历史版本、冲突等需联机发布后端到端测试</x:v>
      </x:c>
      <x:c r="J133" s="17" t="str">
        <x:v>S-21</x:v>
      </x:c>
      <x:c r="K133" s="17" t="str">
        <x:v>【历史需求记录；非逐字聊天原文】每人使用自己的账号，通过共享码加入同一云端项目。</x:v>
      </x:c>
      <x:c r="L133" s="17" t="str">
        <x:v>联机阶段</x:v>
      </x:c>
      <x:c r="M133" s="17" t="str">
        <x:v>ONLINE</x:v>
      </x:c>
    </x:row>
    <x:row r="134" ht="62" customHeight="1">
      <x:c r="A134" s="17" t="str">
        <x:v>SP-006</x:v>
      </x:c>
      <x:c r="B134" s="17" t="str">
        <x:v>专项任务</x:v>
      </x:c>
      <x:c r="C134" s="17" t="str">
        <x:v>云端协作与安全</x:v>
      </x:c>
      <x:c r="D134" s="17" t="str">
        <x:v>账号/版本/冲突/RLS</x:v>
      </x:c>
      <x:c r="E134" s="17" t="str">
        <x:v>冲突保护</x:v>
      </x:c>
      <x:c r="F134" s="17" t="str">
        <x:v>多人同时保存不静默覆盖，可选择云端或本机版本。</x:v>
      </x:c>
      <x:c r="G134" s="17" t="str">
        <x:v>并发冲突检测与选择。</x:v>
      </x:c>
      <x:c r="H134" s="17" t="str">
        <x:v>⏳ 联机待验收</x:v>
      </x:c>
      <x:c r="I134" s="17" t="str">
        <x:v>本地V2.0隐藏旧专项云入口；真实邮箱、共享、历史版本、冲突等需联机发布后端到端测试</x:v>
      </x:c>
      <x:c r="J134" s="17" t="str">
        <x:v>S-26</x:v>
      </x:c>
      <x:c r="K134" s="17" t="str">
        <x:v>【历史需求记录；非逐字聊天原文】多人同时保存不静默覆盖，可选择云端或本机版本。</x:v>
      </x:c>
      <x:c r="L134" s="17" t="str">
        <x:v>联机阶段</x:v>
      </x:c>
      <x:c r="M134" s="17" t="str">
        <x:v>ONLINE</x:v>
      </x:c>
    </x:row>
    <x:row r="135" ht="62" customHeight="1">
      <x:c r="A135" s="17" t="str">
        <x:v>SP-007</x:v>
      </x:c>
      <x:c r="B135" s="17" t="str">
        <x:v>专项任务</x:v>
      </x:c>
      <x:c r="C135" s="17" t="str">
        <x:v>云端协作与安全</x:v>
      </x:c>
      <x:c r="D135" s="17" t="str">
        <x:v>账号/版本/冲突/RLS</x:v>
      </x:c>
      <x:c r="E135" s="17" t="str">
        <x:v>历史版本</x:v>
      </x:c>
      <x:c r="F135" s="17" t="str">
        <x:v>每次云端保存形成历史版本；可按保存时间查看恢复，恢复前版本不删除。</x:v>
      </x:c>
      <x:c r="G135" s="17" t="str">
        <x:v>版本快照/恢复。</x:v>
      </x:c>
      <x:c r="H135" s="17" t="str">
        <x:v>⏳ 联机待验收</x:v>
      </x:c>
      <x:c r="I135" s="17" t="str">
        <x:v>本地V2.0隐藏旧专项云入口；真实邮箱、共享、历史版本、冲突等需联机发布后端到端测试</x:v>
      </x:c>
      <x:c r="J135" s="17" t="str">
        <x:v>S-23</x:v>
      </x:c>
      <x:c r="K135" s="17" t="str">
        <x:v>【历史需求记录；非逐字聊天原文】每次云端保存形成历史版本；可按保存时间查看恢复，恢复前版本不删除。</x:v>
      </x:c>
      <x:c r="L135" s="17" t="str">
        <x:v>联机阶段</x:v>
      </x:c>
      <x:c r="M135" s="17" t="str">
        <x:v>ONLINE</x:v>
      </x:c>
    </x:row>
    <x:row r="136" ht="62" customHeight="1">
      <x:c r="A136" s="17" t="str">
        <x:v>SP-008</x:v>
      </x:c>
      <x:c r="B136" s="17" t="str">
        <x:v>专项任务</x:v>
      </x:c>
      <x:c r="C136" s="17" t="str">
        <x:v>云端协作与安全</x:v>
      </x:c>
      <x:c r="D136" s="17" t="str">
        <x:v>账号/版本/冲突/RLS</x:v>
      </x:c>
      <x:c r="E136" s="17" t="str">
        <x:v>忘记密码</x:v>
      </x:c>
      <x:c r="F136" s="17" t="str">
        <x:v>通过 Supabase 恢复邮件自行设置新密码。</x:v>
      </x:c>
      <x:c r="G136" s="17" t="str">
        <x:v>password recovery flow。</x:v>
      </x:c>
      <x:c r="H136" s="17" t="str">
        <x:v>⏳ 联机待验收</x:v>
      </x:c>
      <x:c r="I136" s="17" t="str">
        <x:v>本地V2.0隐藏旧专项云入口；真实邮箱、共享、历史版本、冲突等需联机发布后端到端测试</x:v>
      </x:c>
      <x:c r="J136" s="17" t="str">
        <x:v>S-20</x:v>
      </x:c>
      <x:c r="K136" s="17" t="str">
        <x:v>【历史需求记录；非逐字聊天原文】通过 Supabase 恢复邮件自行设置新密码。</x:v>
      </x:c>
      <x:c r="L136" s="17" t="str">
        <x:v>联机阶段</x:v>
      </x:c>
      <x:c r="M136" s="17" t="str">
        <x:v>ONLINE</x:v>
      </x:c>
    </x:row>
    <x:row r="137" ht="62" customHeight="1">
      <x:c r="A137" s="17" t="str">
        <x:v>SP-009</x:v>
      </x:c>
      <x:c r="B137" s="17" t="str">
        <x:v>专项任务</x:v>
      </x:c>
      <x:c r="C137" s="17" t="str">
        <x:v>云端协作与安全</x:v>
      </x:c>
      <x:c r="D137" s="17" t="str">
        <x:v>账号/版本/冲突/RLS</x:v>
      </x:c>
      <x:c r="E137" s="17" t="str">
        <x:v>数据安全</x:v>
      </x:c>
      <x:c r="F137" s="17" t="str">
        <x:v>Supabase RLS；前端仅 publishable key，不包含 service_role 密钥。</x:v>
      </x:c>
      <x:c r="G137" s="17" t="str">
        <x:v>RLS + public/publishable key安全边界。</x:v>
      </x:c>
      <x:c r="H137" s="17" t="str">
        <x:v>⏳ 联机待验收</x:v>
      </x:c>
      <x:c r="I137" s="17" t="str">
        <x:v>本地V2.0隐藏旧专项云入口；真实邮箱、共享、历史版本、冲突等需联机发布后端到端测试</x:v>
      </x:c>
      <x:c r="J137" s="17" t="str">
        <x:v>S-27</x:v>
      </x:c>
      <x:c r="K137" s="17" t="str">
        <x:v>【历史需求记录；非逐字聊天原文】Supabase RLS；前端仅 publishable key，不包含 service_role 密钥。</x:v>
      </x:c>
      <x:c r="L137" s="17" t="str">
        <x:v>联机阶段</x:v>
      </x:c>
      <x:c r="M137" s="17" t="str">
        <x:v>ONLINE</x:v>
      </x:c>
    </x:row>
    <x:row r="138" ht="62" customHeight="1">
      <x:c r="A138" s="17" t="str">
        <x:v>SP-010</x:v>
      </x:c>
      <x:c r="B138" s="17" t="str">
        <x:v>专项任务</x:v>
      </x:c>
      <x:c r="C138" s="17" t="str">
        <x:v>云端协作与安全</x:v>
      </x:c>
      <x:c r="D138" s="17" t="str">
        <x:v>账号/版本/冲突/RLS</x:v>
      </x:c>
      <x:c r="E138" s="17" t="str">
        <x:v>未同步草稿保护</x:v>
      </x:c>
      <x:c r="F138" s="17" t="str">
        <x:v>云端尚未同步时保留本机草稿，再次进入主动提示恢复。</x:v>
      </x:c>
      <x:c r="G138" s="17" t="str">
        <x:v>local draft recovery。</x:v>
      </x:c>
      <x:c r="H138" s="17" t="str">
        <x:v>⏳ 联机待验收</x:v>
      </x:c>
      <x:c r="I138" s="17" t="str">
        <x:v>本地V2.0隐藏旧专项云入口；真实邮箱、共享、历史版本、冲突等需联机发布后端到端测试</x:v>
      </x:c>
      <x:c r="J138" s="17" t="str">
        <x:v>S-24</x:v>
      </x:c>
      <x:c r="K138" s="17" t="str">
        <x:v>【历史需求记录；非逐字聊天原文】云端尚未同步时保留本机草稿，再次进入主动提示恢复。</x:v>
      </x:c>
      <x:c r="L138" s="17" t="str">
        <x:v>联机阶段</x:v>
      </x:c>
      <x:c r="M138" s="17" t="str">
        <x:v>ONLINE</x:v>
      </x:c>
    </x:row>
    <x:row r="139" ht="62" customHeight="1">
      <x:c r="A139" s="17" t="str">
        <x:v>SP-011</x:v>
      </x:c>
      <x:c r="B139" s="17" t="str">
        <x:v>专项任务</x:v>
      </x:c>
      <x:c r="C139" s="17" t="str">
        <x:v>云端协作与安全</x:v>
      </x:c>
      <x:c r="D139" s="17" t="str">
        <x:v>账号/版本/冲突/RLS</x:v>
      </x:c>
      <x:c r="E139" s="17" t="str">
        <x:v>登录历史</x:v>
      </x:c>
      <x:c r="F139" s="17" t="str">
        <x:v>当前账号查看自己的登录时间和基于设备时区的粗略区域。</x:v>
      </x:c>
      <x:c r="G139" s="17" t="str">
        <x:v>登录审计。</x:v>
      </x:c>
      <x:c r="H139" s="17" t="str">
        <x:v>⏳ 联机待验收</x:v>
      </x:c>
      <x:c r="I139" s="17" t="str">
        <x:v>本地V2.0隐藏旧专项云入口；真实邮箱、共享、历史版本、冲突等需联机发布后端到端测试</x:v>
      </x:c>
      <x:c r="J139" s="17" t="str">
        <x:v>S-25</x:v>
      </x:c>
      <x:c r="K139" s="17" t="str">
        <x:v>【历史需求记录；非逐字聊天原文】当前账号查看自己的登录时间和基于设备时区的粗略区域。</x:v>
      </x:c>
      <x:c r="L139" s="17" t="str">
        <x:v>联机阶段</x:v>
      </x:c>
      <x:c r="M139" s="17" t="str">
        <x:v>ONLINE</x:v>
      </x:c>
    </x:row>
    <x:row r="140" ht="62" customHeight="1">
      <x:c r="A140" s="17" t="str">
        <x:v>SP-012</x:v>
      </x:c>
      <x:c r="B140" s="17" t="str">
        <x:v>专项任务</x:v>
      </x:c>
      <x:c r="C140" s="17" t="str">
        <x:v>任务树与进度</x:v>
      </x:c>
      <x:c r="D140" s="17" t="str">
        <x:v>层级/父子联动</x:v>
      </x:c>
      <x:c r="E140" s="17" t="str">
        <x:v>四级任务树</x:v>
      </x:c>
      <x:c r="F140" s="17" t="str">
        <x:v>支持 1 / 1.1 / 1.1.1 / 1.1.1.1 四级任务树，展开、收起、新增、提级、降级、移动和拖拽。</x:v>
      </x:c>
      <x:c r="G140" s="17" t="str">
        <x:v>四级树+层级操作。</x:v>
      </x:c>
      <x:c r="H140" s="17" t="str">
        <x:v>✅ 已核验</x:v>
      </x:c>
      <x:c r="I140" s="17" t="str">
        <x:v>已有历史/自动验收证据；V2.0仍待用户逐项人工确认</x:v>
      </x:c>
      <x:c r="J140" s="17" t="str">
        <x:v>S-02</x:v>
      </x:c>
      <x:c r="K140" s="17" t="str">
        <x:v>【历史需求记录；非逐字聊天原文】支持 1 / 1.1 / 1.1.1 / 1.1.1.1 四级任务树，展开、收起、新增、提级、降级、移动和拖拽。</x:v>
      </x:c>
      <x:c r="L140" s="17" t="str">
        <x:v>是（继承/调整后保留）</x:v>
      </x:c>
      <x:c r="M140" s="17" t="str">
        <x:v>PASS</x:v>
      </x:c>
    </x:row>
    <x:row r="141" ht="62" customHeight="1">
      <x:c r="A141" s="17" t="str">
        <x:v>SP-013</x:v>
      </x:c>
      <x:c r="B141" s="17" t="str">
        <x:v>专项任务</x:v>
      </x:c>
      <x:c r="C141" s="17" t="str">
        <x:v>任务树与进度</x:v>
      </x:c>
      <x:c r="D141" s="17" t="str">
        <x:v>层级/父子联动</x:v>
      </x:c>
      <x:c r="E141" s="17" t="str">
        <x:v>父子联动</x:v>
      </x:c>
      <x:c r="F141" s="17" t="str">
        <x:v>父任务选择可覆盖后代；父任务状态和进度根据最末级任务计算。</x:v>
      </x:c>
      <x:c r="G141" s="17" t="str">
        <x:v>树形状态/进度聚合。</x:v>
      </x:c>
      <x:c r="H141" s="17" t="str">
        <x:v>✅ 已核验</x:v>
      </x:c>
      <x:c r="I141" s="17" t="str">
        <x:v>已有历史/自动验收证据；V2.0仍待用户逐项人工确认</x:v>
      </x:c>
      <x:c r="J141" s="17" t="str">
        <x:v>S-03</x:v>
      </x:c>
      <x:c r="K141" s="17" t="str">
        <x:v>【历史需求记录；非逐字聊天原文】父任务选择可覆盖后代；父任务状态和进度根据最末级任务计算。</x:v>
      </x:c>
      <x:c r="L141" s="17" t="str">
        <x:v>是（继承/调整后保留）</x:v>
      </x:c>
      <x:c r="M141" s="17" t="str">
        <x:v>PASS</x:v>
      </x:c>
    </x:row>
    <x:row r="142" ht="62" customHeight="1">
      <x:c r="A142" s="17" t="str">
        <x:v>SP-014</x:v>
      </x:c>
      <x:c r="B142" s="17" t="str">
        <x:v>专项任务</x:v>
      </x:c>
      <x:c r="C142" s="17" t="str">
        <x:v>公开发布与隔离</x:v>
      </x:c>
      <x:c r="D142" s="17" t="str">
        <x:v>数据隔离</x:v>
      </x:c>
      <x:c r="E142" s="17" t="str">
        <x:v>专项数据隔离</x:v>
      </x:c>
      <x:c r="F142" s="17" t="str">
        <x:v>DO 的专项任务使用独立 localStorage，不读取原 project-progress-manager 旧浏览器数据；原独立网站不受影响。</x:v>
      </x:c>
      <x:c r="G142" s="17" t="str">
        <x:v>独立storage key。</x:v>
      </x:c>
      <x:c r="H142" s="17" t="str">
        <x:v>✅ 已核验</x:v>
      </x:c>
      <x:c r="I142" s="17" t="str">
        <x:v>已有历史/自动验收证据；V2.0仍待用户逐项人工确认</x:v>
      </x:c>
      <x:c r="J142" s="17" t="str">
        <x:v>S-29</x:v>
      </x:c>
      <x:c r="K142" s="17" t="str">
        <x:v>【历史需求记录；非逐字聊天原文】DO 的专项任务使用独立 localStorage，不读取原 project-progress-manager 旧浏览器数据；原独立网站不受影响。</x:v>
      </x:c>
      <x:c r="L142" s="17" t="str">
        <x:v>是（继承/调整后保留）</x:v>
      </x:c>
      <x:c r="M142" s="17" t="str">
        <x:v>PASS</x:v>
      </x:c>
    </x:row>
    <x:row r="143" ht="62" customHeight="1">
      <x:c r="A143" s="17" t="str">
        <x:v>SP-015</x:v>
      </x:c>
      <x:c r="B143" s="17" t="str">
        <x:v>专项任务</x:v>
      </x:c>
      <x:c r="C143" s="17" t="str">
        <x:v>公开发布与隔离</x:v>
      </x:c>
      <x:c r="D143" s="17" t="str">
        <x:v>数据隔离</x:v>
      </x:c>
      <x:c r="E143" s="17" t="str">
        <x:v>公开版默认空白</x:v>
      </x:c>
      <x:c r="F143" s="17" t="str">
        <x:v>在 DO 公开站的专项任务副本中，首次打开仅一个空白“项目一”，不展示原示例任务。</x:v>
      </x:c>
      <x:c r="G143" s="17" t="str">
        <x:v>公开构建清空示例数据。</x:v>
      </x:c>
      <x:c r="H143" s="17" t="str">
        <x:v>✅ 已核验</x:v>
      </x:c>
      <x:c r="I143" s="17" t="str">
        <x:v>已有历史/自动验收证据；V2.0仍待用户逐项人工确认</x:v>
      </x:c>
      <x:c r="J143" s="17" t="str">
        <x:v>S-28</x:v>
      </x:c>
      <x:c r="K143" s="17" t="str">
        <x:v>【历史需求记录；非逐字聊天原文】在 DO 公开站的专项任务副本中，首次打开仅一个空白“项目一”，不展示原示例任务。</x:v>
      </x:c>
      <x:c r="L143" s="17" t="str">
        <x:v>是（继承/调整后保留）</x:v>
      </x:c>
      <x:c r="M143" s="17" t="str">
        <x:v>PASS</x:v>
      </x:c>
    </x:row>
    <x:row r="144" ht="62" customHeight="1">
      <x:c r="A144" s="17" t="str">
        <x:v>SP-016</x:v>
      </x:c>
      <x:c r="B144" s="17" t="str">
        <x:v>专项任务</x:v>
      </x:c>
      <x:c r="C144" s="17" t="str">
        <x:v>动态表格</x:v>
      </x:c>
      <x:c r="D144" s="17" t="str">
        <x:v>字段/列/筛选</x:v>
      </x:c>
      <x:c r="E144" s="17" t="str">
        <x:v>列宽与列名</x:v>
      </x:c>
      <x:c r="F144" s="17" t="str">
        <x:v>表格列可编辑名称、拖动列宽。</x:v>
      </x:c>
      <x:c r="G144" s="17" t="str">
        <x:v>列元数据可编辑/持久化。</x:v>
      </x:c>
      <x:c r="H144" s="17" t="str">
        <x:v>✅ 已核验</x:v>
      </x:c>
      <x:c r="I144" s="17" t="str">
        <x:v>已有历史/自动验收证据；V2.0仍待用户逐项人工确认</x:v>
      </x:c>
      <x:c r="J144" s="17" t="str">
        <x:v>S-06</x:v>
      </x:c>
      <x:c r="K144" s="17" t="str">
        <x:v>【历史需求记录；非逐字聊天原文】表格列可编辑名称、拖动列宽。</x:v>
      </x:c>
      <x:c r="L144" s="17" t="str">
        <x:v>是（继承/调整后保留）</x:v>
      </x:c>
      <x:c r="M144" s="17" t="str">
        <x:v>PASS</x:v>
      </x:c>
    </x:row>
    <x:row r="145" ht="62" customHeight="1">
      <x:c r="A145" s="17" t="str">
        <x:v>SP-017</x:v>
      </x:c>
      <x:c r="B145" s="17" t="str">
        <x:v>专项任务</x:v>
      </x:c>
      <x:c r="C145" s="17" t="str">
        <x:v>动态表格</x:v>
      </x:c>
      <x:c r="D145" s="17" t="str">
        <x:v>字段/列/筛选</x:v>
      </x:c>
      <x:c r="E145" s="17" t="str">
        <x:v>筛选关联</x:v>
      </x:c>
      <x:c r="F145" s="17" t="str">
        <x:v>自定义列同步进入筛选区和状态图关联区。</x:v>
      </x:c>
      <x:c r="G145" s="17" t="str">
        <x:v>动态筛选器绑定列schema。</x:v>
      </x:c>
      <x:c r="H145" s="17" t="str">
        <x:v>✅ 已核验</x:v>
      </x:c>
      <x:c r="I145" s="17" t="str">
        <x:v>已有历史/自动验收证据；V2.0仍待用户逐项人工确认</x:v>
      </x:c>
      <x:c r="J145" s="17" t="str">
        <x:v>S-07</x:v>
      </x:c>
      <x:c r="K145" s="17" t="str">
        <x:v>【历史需求记录；非逐字聊天原文】自定义列同步进入筛选区和状态图关联区。</x:v>
      </x:c>
      <x:c r="L145" s="17" t="str">
        <x:v>是（继承/调整后保留）</x:v>
      </x:c>
      <x:c r="M145" s="17" t="str">
        <x:v>PASS</x:v>
      </x:c>
    </x:row>
    <x:row r="146" ht="62" customHeight="1">
      <x:c r="A146" s="17" t="str">
        <x:v>SP-018</x:v>
      </x:c>
      <x:c r="B146" s="17" t="str">
        <x:v>专项任务</x:v>
      </x:c>
      <x:c r="C146" s="17" t="str">
        <x:v>动态表格</x:v>
      </x:c>
      <x:c r="D146" s="17" t="str">
        <x:v>字段/列/筛选</x:v>
      </x:c>
      <x:c r="E146" s="17" t="str">
        <x:v>自定义列</x:v>
      </x:c>
      <x:c r="F146" s="17" t="str">
        <x:v>支持文本、数字、下拉菜单、复选框；列结构同步到全部项目标签。</x:v>
      </x:c>
      <x:c r="G146" s="17" t="str">
        <x:v>动态schema列类型。</x:v>
      </x:c>
      <x:c r="H146" s="17" t="str">
        <x:v>✅ 已核验</x:v>
      </x:c>
      <x:c r="I146" s="17" t="str">
        <x:v>已有历史/自动验收证据；V2.0仍待用户逐项人工确认</x:v>
      </x:c>
      <x:c r="J146" s="17" t="str">
        <x:v>S-05</x:v>
      </x:c>
      <x:c r="K146" s="17" t="str">
        <x:v>【历史需求记录；非逐字聊天原文】支持文本、数字、下拉菜单、复选框；列结构同步到全部项目标签。</x:v>
      </x:c>
      <x:c r="L146" s="17" t="str">
        <x:v>是（继承/调整后保留）</x:v>
      </x:c>
      <x:c r="M146" s="17" t="str">
        <x:v>PASS</x:v>
      </x:c>
    </x:row>
    <x:row r="147" ht="62" customHeight="1">
      <x:c r="A147" s="17" t="str">
        <x:v>SP-019</x:v>
      </x:c>
      <x:c r="B147" s="17" t="str">
        <x:v>专项任务</x:v>
      </x:c>
      <x:c r="C147" s="17" t="str">
        <x:v>动态表格</x:v>
      </x:c>
      <x:c r="D147" s="17" t="str">
        <x:v>字段/列/筛选</x:v>
      </x:c>
      <x:c r="E147" s="17" t="str">
        <x:v>默认字段</x:v>
      </x:c>
      <x:c r="F147" s="17" t="str">
        <x:v>序号、任务名称、具体内容、状态、进度。</x:v>
      </x:c>
      <x:c r="G147" s="17" t="str">
        <x:v>固定基础列。</x:v>
      </x:c>
      <x:c r="H147" s="17" t="str">
        <x:v>✅ 已核验</x:v>
      </x:c>
      <x:c r="I147" s="17" t="str">
        <x:v>已有历史/自动验收证据；V2.0仍待用户逐项人工确认</x:v>
      </x:c>
      <x:c r="J147" s="17" t="str">
        <x:v>S-04</x:v>
      </x:c>
      <x:c r="K147" s="17" t="str">
        <x:v>【历史需求记录；非逐字聊天原文】序号、任务名称、具体内容、状态、进度。</x:v>
      </x:c>
      <x:c r="L147" s="17" t="str">
        <x:v>是（继承/调整后保留）</x:v>
      </x:c>
      <x:c r="M147" s="17" t="str">
        <x:v>PASS</x:v>
      </x:c>
    </x:row>
    <x:row r="148" ht="62" customHeight="1">
      <x:c r="A148" s="17" t="str">
        <x:v>SP-020</x:v>
      </x:c>
      <x:c r="B148" s="17" t="str">
        <x:v>专项任务</x:v>
      </x:c>
      <x:c r="C148" s="17" t="str">
        <x:v>多项目</x:v>
      </x:c>
      <x:c r="D148" s="17" t="str">
        <x:v>标签与公共结构</x:v>
      </x:c>
      <x:c r="E148" s="17" t="str">
        <x:v>公共列结构</x:v>
      </x:c>
      <x:c r="F148" s="17" t="str">
        <x:v>所有项目共用列结构、列名称和列宽。</x:v>
      </x:c>
      <x:c r="G148" s="17" t="str">
        <x:v>schema全项目共享。</x:v>
      </x:c>
      <x:c r="H148" s="17" t="str">
        <x:v>✅ 已核验</x:v>
      </x:c>
      <x:c r="I148" s="17" t="str">
        <x:v>已有历史/自动验收证据；V2.0仍待用户逐项人工确认</x:v>
      </x:c>
      <x:c r="J148" s="17" t="str">
        <x:v>S-13</x:v>
      </x:c>
      <x:c r="K148" s="17" t="str">
        <x:v>【历史需求记录；非逐字聊天原文】所有项目共用列结构、列名称和列宽。</x:v>
      </x:c>
      <x:c r="L148" s="17" t="str">
        <x:v>是（继承/调整后保留）</x:v>
      </x:c>
      <x:c r="M148" s="17" t="str">
        <x:v>PASS</x:v>
      </x:c>
    </x:row>
    <x:row r="149" ht="62" customHeight="1">
      <x:c r="A149" s="17" t="str">
        <x:v>SP-021</x:v>
      </x:c>
      <x:c r="B149" s="17" t="str">
        <x:v>专项任务</x:v>
      </x:c>
      <x:c r="C149" s="17" t="str">
        <x:v>多项目</x:v>
      </x:c>
      <x:c r="D149" s="17" t="str">
        <x:v>标签与公共结构</x:v>
      </x:c>
      <x:c r="E149" s="17" t="str">
        <x:v>多项目标签</x:v>
      </x:c>
      <x:c r="F149" s="17" t="str">
        <x:v>底部标签切换不同项目；各项目任务独立。</x:v>
      </x:c>
      <x:c r="G149" s="17" t="str">
        <x:v>多项目workspace tabs。</x:v>
      </x:c>
      <x:c r="H149" s="17" t="str">
        <x:v>✅ 已核验</x:v>
      </x:c>
      <x:c r="I149" s="17" t="str">
        <x:v>已有历史/自动验收证据；V2.0仍待用户逐项人工确认</x:v>
      </x:c>
      <x:c r="J149" s="17" t="str">
        <x:v>S-11</x:v>
      </x:c>
      <x:c r="K149" s="17" t="str">
        <x:v>【历史需求记录；非逐字聊天原文】底部标签切换不同项目；各项目任务独立。</x:v>
      </x:c>
      <x:c r="L149" s="17" t="str">
        <x:v>是（继承/调整后保留）</x:v>
      </x:c>
      <x:c r="M149" s="17" t="str">
        <x:v>PASS</x:v>
      </x:c>
    </x:row>
    <x:row r="150" ht="62" customHeight="1">
      <x:c r="A150" s="17" t="str">
        <x:v>SP-022</x:v>
      </x:c>
      <x:c r="B150" s="17" t="str">
        <x:v>专项任务</x:v>
      </x:c>
      <x:c r="C150" s="17" t="str">
        <x:v>多项目</x:v>
      </x:c>
      <x:c r="D150" s="17" t="str">
        <x:v>标签与公共结构</x:v>
      </x:c>
      <x:c r="E150" s="17" t="str">
        <x:v>标签管理</x:v>
      </x:c>
      <x:c r="F150" s="17" t="str">
        <x:v>新增空白项目、改名、复制、左移、右移、删除，至少保留一个项目。</x:v>
      </x:c>
      <x:c r="G150" s="17" t="str">
        <x:v>项目标签CRUD/排序/最少1个约束。</x:v>
      </x:c>
      <x:c r="H150" s="17" t="str">
        <x:v>✅ 已核验</x:v>
      </x:c>
      <x:c r="I150" s="17" t="str">
        <x:v>已有历史/自动验收证据；V2.0仍待用户逐项人工确认</x:v>
      </x:c>
      <x:c r="J150" s="17" t="str">
        <x:v>S-12</x:v>
      </x:c>
      <x:c r="K150" s="17" t="str">
        <x:v>【历史需求记录；非逐字聊天原文】新增空白项目、改名、复制、左移、右移、删除，至少保留一个项目。</x:v>
      </x:c>
      <x:c r="L150" s="17" t="str">
        <x:v>是（继承/调整后保留）</x:v>
      </x:c>
      <x:c r="M150" s="17" t="str">
        <x:v>PASS</x:v>
      </x:c>
    </x:row>
    <x:row r="151" ht="62" customHeight="1">
      <x:c r="A151" s="17" t="str">
        <x:v>SP-023</x:v>
      </x:c>
      <x:c r="B151" s="17" t="str">
        <x:v>专项任务</x:v>
      </x:c>
      <x:c r="C151" s="17" t="str">
        <x:v>文件与本地数据</x:v>
      </x:c>
      <x:c r="D151" s="17" t="str">
        <x:v>Excel/工作簿/保存</x:v>
      </x:c>
      <x:c r="E151" s="17" t="str">
        <x:v>专项 Excel 导入</x:v>
      </x:c>
      <x:c r="F151" s="17" t="str">
        <x:v>支持 .xlsx/.xls 导入预览，处理当前项目标签。</x:v>
      </x:c>
      <x:c r="G151" s="17" t="str">
        <x:v>Excel导入预览并写入活动项目。</x:v>
      </x:c>
      <x:c r="H151" s="17" t="str">
        <x:v>✅ 已核验</x:v>
      </x:c>
      <x:c r="I151" s="17" t="str">
        <x:v>已有历史/自动验收证据；V2.0仍待用户逐项人工确认</x:v>
      </x:c>
      <x:c r="J151" s="17" t="str">
        <x:v>S-14</x:v>
      </x:c>
      <x:c r="K151" s="17" t="str">
        <x:v>【历史需求记录；非逐字聊天原文】支持 .xlsx/.xls 导入预览，处理当前项目标签。</x:v>
      </x:c>
      <x:c r="L151" s="17" t="str">
        <x:v>是（继承/调整后保留）</x:v>
      </x:c>
      <x:c r="M151" s="17" t="str">
        <x:v>PASS</x:v>
      </x:c>
    </x:row>
    <x:row r="152" ht="62" customHeight="1">
      <x:c r="A152" s="17" t="str">
        <x:v>SP-024</x:v>
      </x:c>
      <x:c r="B152" s="17" t="str">
        <x:v>专项任务</x:v>
      </x:c>
      <x:c r="C152" s="17" t="str">
        <x:v>文件与本地数据</x:v>
      </x:c>
      <x:c r="D152" s="17" t="str">
        <x:v>Excel/工作簿/保存</x:v>
      </x:c>
      <x:c r="E152" s="17" t="str">
        <x:v>专项 Excel 导出</x:v>
      </x:c>
      <x:c r="F152" s="17" t="str">
        <x:v>支持当前项目标签 .xlsx 导出。</x:v>
      </x:c>
      <x:c r="G152" s="17" t="str">
        <x:v>当前项目导出。</x:v>
      </x:c>
      <x:c r="H152" s="17" t="str">
        <x:v>✅ 已核验</x:v>
      </x:c>
      <x:c r="I152" s="17" t="str">
        <x:v>已有历史/自动验收证据；V2.0仍待用户逐项人工确认</x:v>
      </x:c>
      <x:c r="J152" s="17" t="str">
        <x:v>S-15</x:v>
      </x:c>
      <x:c r="K152" s="17" t="str">
        <x:v>【历史需求记录；非逐字聊天原文】支持当前项目标签 .xlsx 导出。</x:v>
      </x:c>
      <x:c r="L152" s="17" t="str">
        <x:v>是（继承/调整后保留）</x:v>
      </x:c>
      <x:c r="M152" s="17" t="str">
        <x:v>PASS</x:v>
      </x:c>
    </x:row>
    <x:row r="153" ht="62" customHeight="1">
      <x:c r="A153" s="17" t="str">
        <x:v>SP-025</x:v>
      </x:c>
      <x:c r="B153" s="17" t="str">
        <x:v>专项任务</x:v>
      </x:c>
      <x:c r="C153" s="17" t="str">
        <x:v>文件与本地数据</x:v>
      </x:c>
      <x:c r="D153" s="17" t="str">
        <x:v>Excel/工作簿/保存</x:v>
      </x:c>
      <x:c r="E153" s="17" t="str">
        <x:v>保存本地网页版</x:v>
      </x:c>
      <x:c r="F153" s="17" t="str">
        <x:v>可生成含当前项目数据的独立 HTML。</x:v>
      </x:c>
      <x:c r="G153" s="17" t="str">
        <x:v>导出自包含HTML。</x:v>
      </x:c>
      <x:c r="H153" s="17" t="str">
        <x:v>✅ 已核验</x:v>
      </x:c>
      <x:c r="I153" s="17" t="str">
        <x:v>已有历史/自动验收证据；V2.0仍待用户逐项人工确认</x:v>
      </x:c>
      <x:c r="J153" s="17" t="str">
        <x:v>S-17</x:v>
      </x:c>
      <x:c r="K153" s="17" t="str">
        <x:v>【历史需求记录；非逐字聊天原文】可生成含当前项目数据的独立 HTML。</x:v>
      </x:c>
      <x:c r="L153" s="17" t="str">
        <x:v>是（继承/调整后保留）</x:v>
      </x:c>
      <x:c r="M153" s="17" t="str">
        <x:v>PASS</x:v>
      </x:c>
    </x:row>
    <x:row r="154" ht="62" customHeight="1">
      <x:c r="A154" s="17" t="str">
        <x:v>SP-026</x:v>
      </x:c>
      <x:c r="B154" s="17" t="str">
        <x:v>专项任务</x:v>
      </x:c>
      <x:c r="C154" s="17" t="str">
        <x:v>文件与本地数据</x:v>
      </x:c>
      <x:c r="D154" s="17" t="str">
        <x:v>Excel/工作簿/保存</x:v>
      </x:c>
      <x:c r="E154" s="17" t="str">
        <x:v>全站 Excel 联动</x:v>
      </x:c>
      <x:c r="F154" s="17" t="str">
        <x:v>DO 最外层 Excel 可纳入/恢复专项任务工作簿；专项任务仍保留单独 Excel。</x:v>
      </x:c>
      <x:c r="G154" s="17" t="str">
        <x:v>总备份与专项独立备份双轨。</x:v>
      </x:c>
      <x:c r="H154" s="17" t="str">
        <x:v>✅ 已核验</x:v>
      </x:c>
      <x:c r="I154" s="17" t="str">
        <x:v>已有历史/自动验收证据；V2.0仍待用户逐项人工确认</x:v>
      </x:c>
      <x:c r="J154" s="17" t="str">
        <x:v>S-30</x:v>
      </x:c>
      <x:c r="K154" s="17" t="str">
        <x:v>【历史需求记录；非逐字聊天原文】DO 最外层 Excel 可纳入/恢复专项任务工作簿；专项任务仍保留单独 Excel。</x:v>
      </x:c>
      <x:c r="L154" s="17" t="str">
        <x:v>是（继承/调整后保留）</x:v>
      </x:c>
      <x:c r="M154" s="17" t="str">
        <x:v>PASS</x:v>
      </x:c>
    </x:row>
    <x:row r="155" ht="62" customHeight="1">
      <x:c r="A155" s="17" t="str">
        <x:v>SP-027</x:v>
      </x:c>
      <x:c r="B155" s="17" t="str">
        <x:v>专项任务</x:v>
      </x:c>
      <x:c r="C155" s="17" t="str">
        <x:v>文件与本地数据</x:v>
      </x:c>
      <x:c r="D155" s="17" t="str">
        <x:v>Excel/工作簿/保存</x:v>
      </x:c>
      <x:c r="E155" s="17" t="str">
        <x:v>工作簿保存/打开</x:v>
      </x:c>
      <x:c r="F155" s="17" t="str">
        <x:v>保存/打开整个多项目工作簿。</x:v>
      </x:c>
      <x:c r="G155" s="17" t="str">
        <x:v>序列化完整workspace。</x:v>
      </x:c>
      <x:c r="H155" s="17" t="str">
        <x:v>✅ 已核验</x:v>
      </x:c>
      <x:c r="I155" s="17" t="str">
        <x:v>已有历史/自动验收证据；V2.0仍待用户逐项人工确认</x:v>
      </x:c>
      <x:c r="J155" s="17" t="str">
        <x:v>S-16</x:v>
      </x:c>
      <x:c r="K155" s="17" t="str">
        <x:v>【历史需求记录；非逐字聊天原文】保存/打开整个多项目工作簿。</x:v>
      </x:c>
      <x:c r="L155" s="17" t="str">
        <x:v>是（继承/调整后保留）</x:v>
      </x:c>
      <x:c r="M155" s="17" t="str">
        <x:v>PASS</x:v>
      </x:c>
    </x:row>
    <x:row r="156" ht="62" customHeight="1">
      <x:c r="A156" s="17" t="str">
        <x:v>SP-028</x:v>
      </x:c>
      <x:c r="B156" s="17" t="str">
        <x:v>专项任务</x:v>
      </x:c>
      <x:c r="C156" s="17" t="str">
        <x:v>文件与本地数据</x:v>
      </x:c>
      <x:c r="D156" s="17" t="str">
        <x:v>Excel/工作簿/保存</x:v>
      </x:c>
      <x:c r="E156" s="17" t="str">
        <x:v>本地自动保存</x:v>
      </x:c>
      <x:c r="F156" s="17" t="str">
        <x:v>未登录时保存当前浏览器。</x:v>
      </x:c>
      <x:c r="G156" s="17" t="str">
        <x:v>localStorage。</x:v>
      </x:c>
      <x:c r="H156" s="17" t="str">
        <x:v>✅ 已核验</x:v>
      </x:c>
      <x:c r="I156" s="17" t="str">
        <x:v>已有历史/自动验收证据；V2.0仍待用户逐项人工确认</x:v>
      </x:c>
      <x:c r="J156" s="17" t="str">
        <x:v>S-18</x:v>
      </x:c>
      <x:c r="K156" s="17" t="str">
        <x:v>【历史需求记录；非逐字聊天原文】未登录时保存当前浏览器。</x:v>
      </x:c>
      <x:c r="L156" s="17" t="str">
        <x:v>是（继承/调整后保留）</x:v>
      </x:c>
      <x:c r="M156" s="17" t="str">
        <x:v>PASS</x:v>
      </x:c>
    </x:row>
    <x:row r="157" ht="62" customHeight="1">
      <x:c r="A157" s="17" t="str">
        <x:v>SP-029</x:v>
      </x:c>
      <x:c r="B157" s="17" t="str">
        <x:v>专项任务</x:v>
      </x:c>
      <x:c r="C157" s="17" t="str">
        <x:v>模块定位与融合</x:v>
      </x:c>
      <x:c r="D157" s="17" t="str">
        <x:v>模块边界</x:v>
      </x:c>
      <x:c r="E157" s="17" t="str">
        <x:v>专项任务定位</x:v>
      </x:c>
      <x:c r="F157" s="17" t="str">
        <x:v>作为“DO · 进度管理”的一个模块，完整沿用 project-progress-manager 能力，不再作为第二套独立主导航网站。</x:v>
      </x:c>
      <x:c r="G157" s="17" t="str">
        <x:v>V2.0作为内嵌模块，不再独立主导航。</x:v>
      </x:c>
      <x:c r="H157" s="17" t="str">
        <x:v>✅ 已核验</x:v>
      </x:c>
      <x:c r="I157" s="17" t="str">
        <x:v>已有历史/自动验收证据；V2.0仍待用户逐项人工确认</x:v>
      </x:c>
      <x:c r="J157" s="17" t="str">
        <x:v>S-01</x:v>
      </x:c>
      <x:c r="K157" s="17" t="str">
        <x:v>【历史需求记录；非逐字聊天原文】作为“DO · 进度管理”的一个模块，完整沿用 project-progress-manager 能力，不再作为第二套独立主导航网站。</x:v>
      </x:c>
      <x:c r="L157" s="17" t="str">
        <x:v>是（继承/调整后保留）</x:v>
      </x:c>
      <x:c r="M157" s="17" t="str">
        <x:v>PASS</x:v>
      </x:c>
    </x:row>
    <x:row r="158" ht="62" customHeight="1">
      <x:c r="A158" s="17" t="str">
        <x:v>SP-030</x:v>
      </x:c>
      <x:c r="B158" s="17" t="str">
        <x:v>专项任务</x:v>
      </x:c>
      <x:c r="C158" s="17" t="str">
        <x:v>状态与状态图</x:v>
      </x:c>
      <x:c r="D158" s="17" t="str">
        <x:v>状态模型/对齐</x:v>
      </x:c>
      <x:c r="E158" s="17" t="str">
        <x:v>五种专项状态</x:v>
      </x:c>
      <x:c r="F158" s="17" t="str">
        <x:v>未开始、进行中、已完成、延期、完成但存在问题。</x:v>
      </x:c>
      <x:c r="G158" s="17" t="str">
        <x:v>专项任务状态枚举。</x:v>
      </x:c>
      <x:c r="H158" s="17" t="str">
        <x:v>✅ 已核验</x:v>
      </x:c>
      <x:c r="I158" s="17" t="str">
        <x:v>已有历史/自动验收证据；V2.0仍待用户逐项人工确认</x:v>
      </x:c>
      <x:c r="J158" s="17" t="str">
        <x:v>S-08</x:v>
      </x:c>
      <x:c r="K158" s="17" t="str">
        <x:v>【历史需求记录；非逐字聊天原文】未开始、进行中、已完成、延期、完成但存在问题。</x:v>
      </x:c>
      <x:c r="L158" s="17" t="str">
        <x:v>是（继承/调整后保留）</x:v>
      </x:c>
      <x:c r="M158" s="17" t="str">
        <x:v>PASS</x:v>
      </x:c>
    </x:row>
    <x:row r="159" ht="62" customHeight="1">
      <x:c r="A159" s="17" t="str">
        <x:v>SP-031</x:v>
      </x:c>
      <x:c r="B159" s="17" t="str">
        <x:v>专项任务</x:v>
      </x:c>
      <x:c r="C159" s="17" t="str">
        <x:v>状态与状态图</x:v>
      </x:c>
      <x:c r="D159" s="17" t="str">
        <x:v>状态模型/对齐</x:v>
      </x:c>
      <x:c r="E159" s="17" t="str">
        <x:v>状态图筛选</x:v>
      </x:c>
      <x:c r="F159" s="17" t="str">
        <x:v>未开始/进行中/已完成三类独立勾选；延期归进行中并红色提示，完成但存在问题归已完成并红色提示。</x:v>
      </x:c>
      <x:c r="G159" s="17" t="str">
        <x:v>三类显示过滤+异常状态归类着色。</x:v>
      </x:c>
      <x:c r="H159" s="17" t="str">
        <x:v>✅ 已核验</x:v>
      </x:c>
      <x:c r="I159" s="17" t="str">
        <x:v>已有历史/自动验收证据；V2.0仍待用户逐项人工确认</x:v>
      </x:c>
      <x:c r="J159" s="17" t="str">
        <x:v>S-10</x:v>
      </x:c>
      <x:c r="K159" s="17" t="str">
        <x:v>【历史需求记录；非逐字聊天原文】未开始/进行中/已完成三类独立勾选；延期归进行中并红色提示，完成但存在问题归已完成并红色提示。</x:v>
      </x:c>
      <x:c r="L159" s="17" t="str">
        <x:v>是（继承/调整后保留）</x:v>
      </x:c>
      <x:c r="M159" s="17" t="str">
        <x:v>PASS</x:v>
      </x:c>
    </x:row>
    <x:row r="160" ht="62" customHeight="1">
      <x:c r="A160" s="17" t="str">
        <x:v>SP-032</x:v>
      </x:c>
      <x:c r="B160" s="17" t="str">
        <x:v>专项任务</x:v>
      </x:c>
      <x:c r="C160" s="17" t="str">
        <x:v>状态与状态图</x:v>
      </x:c>
      <x:c r="D160" s="17" t="str">
        <x:v>状态模型/对齐</x:v>
      </x:c>
      <x:c r="E160" s="17" t="str">
        <x:v>状态图逐行对应</x:v>
      </x:c>
      <x:c r="F160" s="17" t="str">
        <x:v>状态图与左侧当前可见任务逐行对应，隐藏状态仍保持对齐。</x:v>
      </x:c>
      <x:c r="G160" s="17" t="str">
        <x:v>右侧状态图按可见任务行索引渲染；隐藏状态保留占位行。</x:v>
      </x:c>
      <x:c r="H160" s="17" t="str">
        <x:v>✅ 已核验</x:v>
      </x:c>
      <x:c r="I160" s="17" t="str">
        <x:v>已有历史/自动验收证据；V2.0仍待用户逐项人工确认</x:v>
      </x:c>
      <x:c r="J160" s="17" t="str">
        <x:v>S-09</x:v>
      </x:c>
      <x:c r="K160" s="17" t="str">
        <x:v>【历史需求记录；非逐字聊天原文】状态图与左侧当前可见任务逐行对应，隐藏状态仍保持对齐。</x:v>
      </x:c>
      <x:c r="L160" s="17" t="str">
        <x:v>是（继承/调整后保留）</x:v>
      </x:c>
      <x:c r="M160" s="17" t="str">
        <x:v>PASS</x:v>
      </x:c>
    </x:row>
    <x:row r="161" ht="62" customHeight="1">
      <x:c r="A161" s="17" t="str">
        <x:v>CV-001</x:v>
      </x:c>
      <x:c r="B161" s="17" t="str">
        <x:v>头脑风暴</x:v>
      </x:c>
      <x:c r="C161" s="17" t="str">
        <x:v>V1.13/历史关键聊天原文</x:v>
      </x:c>
      <x:c r="D161" s="17" t="str">
        <x:v>V2.0完整迁移</x:v>
      </x:c>
      <x:c r="E161" s="17" t="str"/>
      <x:c r="F161" s="17" t="str">
        <x:v>流程画布V1.13必须完整原文迁移到融合版，不能只做功能仿写或简化。</x:v>
      </x:c>
      <x:c r="G161" s="17" t="str">
        <x:v>V2.0将V1.13原始单HTML完整负载内嵌，file://运行，节点、连线、配平、上下游审查均保留。</x:v>
      </x:c>
      <x:c r="H161" s="17" t="str">
        <x:v>✅ 已核验</x:v>
      </x:c>
      <x:c r="I161" s="17" t="str">
        <x:v>V2.0自动验收确认V1.13启动、节点/连线/配平可用；用户最终人工验收待确认</x:v>
      </x:c>
      <x:c r="J161" s="17" t="str">
        <x:v>C-82</x:v>
      </x:c>
      <x:c r="K161" s="17" t="str">
        <x:v>【可核对聊天原文】将头脑风暴的v1.13版本的全部内容功能、代码，原文迁移到进度管理的头脑风暴模块下面，画布的全部模块功能/代码原文</x:v>
      </x:c>
      <x:c r="L161" s="17" t="str">
        <x:v>是（V2.0）</x:v>
      </x:c>
      <x:c r="M161" s="17" t="str">
        <x:v>PASS</x:v>
      </x:c>
    </x:row>
    <x:row r="162" ht="62" customHeight="1">
      <x:c r="A162" s="17" t="str">
        <x:v>CV-002</x:v>
      </x:c>
      <x:c r="B162" s="17" t="str">
        <x:v>头脑风暴</x:v>
      </x:c>
      <x:c r="C162" s="17" t="str">
        <x:v>V1.13/历史关键聊天原文</x:v>
      </x:c>
      <x:c r="D162" s="17" t="str">
        <x:v>上下游审查与推荐</x:v>
      </x:c>
      <x:c r="E162" s="17" t="str"/>
      <x:c r="F162" s="17" t="str">
        <x:v>配平审查不仅看当前节点，还要递归检查上下游；对失衡节点给推荐调整值；推荐可编辑但不能自动写入，只有点击应用才修改。</x:v>
      </x:c>
      <x:c r="G162" s="17" t="str">
        <x:v>V1.13新增relatedBalanceNodes、balanceAudit、recommendationForBalance、applyBalanceRecommendation；推荐值UI可编辑，手动应用。</x:v>
      </x:c>
      <x:c r="H162" s="17" t="str">
        <x:v>✅ 已核验</x:v>
      </x:c>
      <x:c r="I162" s="17" t="str">
        <x:v>V1.13独立逻辑8/8及浏览器验收通过；V2.0载入/配平关键API通过</x:v>
      </x:c>
      <x:c r="J162" s="17" t="str">
        <x:v>C-81</x:v>
      </x:c>
      <x:c r="K162" s="17" t="str">
        <x:v>【可核对聊天原文】我就是让你梳理前后上下游的，如果上游存在不平衡，或者下游以后存在不平衡，是不是要梳理？...你是不是应该提出推荐值...推荐值只进行展示...只有我点击的是应用...是否合理?</x:v>
      </x:c>
      <x:c r="L162" s="17" t="str">
        <x:v>是（V1.13核心新增）</x:v>
      </x:c>
      <x:c r="M162" s="17" t="str">
        <x:v>PASS</x:v>
      </x:c>
    </x:row>
    <x:row r="163" ht="62" customHeight="1">
      <x:c r="A163" s="17" t="str">
        <x:v>CV-003</x:v>
      </x:c>
      <x:c r="B163" s="17" t="str">
        <x:v>头脑风暴</x:v>
      </x:c>
      <x:c r="C163" s="17" t="str">
        <x:v>V1.13/历史关键聊天原文</x:v>
      </x:c>
      <x:c r="D163" s="17" t="str">
        <x:v>层级树/自动布局</x:v>
      </x:c>
      <x:c r="E163" s="17" t="str"/>
      <x:c r="F163" s="17" t="str">
        <x:v>节点层级必须是树结构；新增后级、提升/同级操作要改变层级；支持自动布局；删除中间节点自动重连。</x:v>
      </x:c>
      <x:c r="G163" s="17" t="str">
        <x:v>parentId树+四箭头结构操作+autoLayout+删除重接父级。</x:v>
      </x:c>
      <x:c r="H163" s="17" t="str">
        <x:v>✅ 已核验</x:v>
      </x:c>
      <x:c r="I163" s="17" t="str">
        <x:v>V1.0起已实现，V1.12/V1.13进一步回归</x:v>
      </x:c>
      <x:c r="J163" s="17" t="str">
        <x:v>C-84</x:v>
      </x:c>
      <x:c r="K163" s="17" t="str">
        <x:v>【可核对聊天原文】这个流程框架不对...应该是an-B1,B2—C1,C2...也就是就是随着行...我新一个图框，就在当前图框的后一级里面，可以↑↓提升...还能一键自动智能布局...连接线不要取消了箭头...中间的节点删除后，其他的自动连线...</x:v>
      </x:c>
      <x:c r="L163" s="17" t="str">
        <x:v>是（V1.13继承）</x:v>
      </x:c>
      <x:c r="M163" s="17" t="str">
        <x:v>PASS</x:v>
      </x:c>
    </x:row>
    <x:row r="164" ht="62" customHeight="1">
      <x:c r="A164" s="17" t="str">
        <x:v>CV-004</x:v>
      </x:c>
      <x:c r="B164" s="17" t="str">
        <x:v>头脑风暴</x:v>
      </x:c>
      <x:c r="C164" s="17" t="str">
        <x:v>V1.13/历史关键聊天原文</x:v>
      </x:c>
      <x:c r="D164" s="17" t="str">
        <x:v>综合交互重构</x:v>
      </x:c>
      <x:c r="E164" s="17" t="str"/>
      <x:c r="F164" s="17" t="str">
        <x:v>重组菜单但不丢功能；SmartArt式层级编辑；结构箭头；自由节点；GIS式线选择；数字必须放水平支路；单位默认隐藏。</x:v>
      </x:c>
      <x:c r="G164" s="17" t="str">
        <x:v>V1.10-V1.12将菜单/Smart/结构箭头/选择工具/标签锚点等统一实现并回归。</x:v>
      </x:c>
      <x:c r="H164" s="17" t="str">
        <x:v>✅ 已核验</x:v>
      </x:c>
      <x:c r="I164" s="17" t="str">
        <x:v>V1.12三轮实际验收75/75；V2.0完整迁移V1.13；用户最终融合版验收待确认</x:v>
      </x:c>
      <x:c r="J164" s="17" t="str">
        <x:v>C-79</x:v>
      </x:c>
      <x:c r="K164" s="17" t="str">
        <x:v>【可核对聊天原文】把所有的功能，往上面的文件编辑视图里面去归并。然后撤销恢复这两个置顶...我希望……参照我的word里面创建的Smart图...Tab自动下降一级，shift加Tab自动上升一级，enter保持当前级别...自主定图框...前一个图框、同级图框、下一个图框是什么样子的...流程图时候，左右是可以互相的...注意，上下的时候不要把图与图之间的关系乱了...设置几个默认框架格式...线这一块，连接线的选择类似于GIS...选中目标线...套索...统一变成实线或虚线...创建完线之后单独去修改...主要是让数字和数量一直在横线上...垂直的公共线我不需要数字...线上显示的数字体现...放到靠近框架的最后一段...单位...默认不要显示，是隐藏...其他原有功能不变。</x:v>
      </x:c>
      <x:c r="L164" s="17" t="str">
        <x:v>是（V1.13继承）</x:v>
      </x:c>
      <x:c r="M164" s="17" t="str">
        <x:v>PASS</x:v>
      </x:c>
    </x:row>
    <x:row r="165" ht="62" customHeight="1">
      <x:c r="A165" s="17" t="str">
        <x:v>CV-005</x:v>
      </x:c>
      <x:c r="B165" s="17" t="str">
        <x:v>头脑风暴</x:v>
      </x:c>
      <x:c r="C165" s="17" t="str">
        <x:v>V1.13/历史关键聊天原文</x:v>
      </x:c>
      <x:c r="D165" s="17" t="str">
        <x:v>连接线+配平</x:v>
      </x:c>
      <x:c r="E165" s="17" t="str"/>
      <x:c r="F165" s="17" t="str">
        <x:v>连接线要像Office图形一样可编辑端点/拐角，并承载数量数据；节点支持进出平衡。</x:v>
      </x:c>
      <x:c r="G165" s="17" t="str">
        <x:v>可选/拖动端点、直角路线/偏移、edge数量字段、节点balance模型。</x:v>
      </x:c>
      <x:c r="H165" s="17" t="str">
        <x:v>✅ 已核验</x:v>
      </x:c>
      <x:c r="I165" s="17" t="str">
        <x:v>多版迭代与V1.12三轮验收有证据；V2.0完整迁移</x:v>
      </x:c>
      <x:c r="J165" s="17" t="str">
        <x:v>C-83</x:v>
      </x:c>
      <x:c r="K165" s="17" t="str">
        <x:v>【可核对聊天原文】点连线能够和PPT里面连线一样...修改拐角...四平衡/水平衡...图框需要输入数字...进入多少，出来多少...保证进出的平衡...线上能够增加数字...</x:v>
      </x:c>
      <x:c r="L165" s="17" t="str">
        <x:v>是（V1.13继承）</x:v>
      </x:c>
      <x:c r="M165" s="17" t="str">
        <x:v>PASS</x:v>
      </x:c>
    </x:row>
    <x:row r="166" ht="62" customHeight="1">
      <x:c r="A166" s="17" t="str">
        <x:v>CV-006</x:v>
      </x:c>
      <x:c r="B166" s="17" t="str">
        <x:v>头脑风暴</x:v>
      </x:c>
      <x:c r="C166" s="17" t="str">
        <x:v>V1.13/历史关键聊天原文</x:v>
      </x:c>
      <x:c r="D166" s="17" t="str">
        <x:v>配平联动</x:v>
      </x:c>
      <x:c r="E166" s="17" t="str"/>
      <x:c r="F166" s="17" t="str">
        <x:v>上游修改必须向下游传播；识别新的不平衡并红色标识；配平表和图同时可见；单位默认隐藏。</x:v>
      </x:c>
      <x:c r="G166" s="17" t="str">
        <x:v>recalcAll多轮传播，downstreamIssues检查，bad节点红框，balance侧栏与画布并列。</x:v>
      </x:c>
      <x:c r="H166" s="17" t="str">
        <x:v>✅ 已核验</x:v>
      </x:c>
      <x:c r="I166" s="17" t="str">
        <x:v>V1.12配平专项真实验收通过；V1.13继续保留</x:v>
      </x:c>
      <x:c r="J166" s="17" t="str">
        <x:v>C-80</x:v>
      </x:c>
      <x:c r="K166" s="17" t="str">
        <x:v>【可核对聊天原文】第一个从总的一百减到五十公斤...下游一百会不会自动跟着变化？所有的有上下游的全部要跟着变化...检查下面连接的图有没有配了和图上的输入有没有导致新的不平衡...识别到不平衡在中心的框图用红色表示...点Word那个工具栏里面平衡...表格和图形可以同时显示...不要底部的一个进度条...单位默认不显示...其它都OK了...</x:v>
      </x:c>
      <x:c r="L166" s="17" t="str">
        <x:v>是（V1.13继承）</x:v>
      </x:c>
      <x:c r="M166" s="17" t="str">
        <x:v>PASS</x:v>
      </x:c>
    </x:row>
    <x:row r="167" ht="62" customHeight="1">
      <x:c r="A167" s="17" t="str">
        <x:v>CV-007</x:v>
      </x:c>
      <x:c r="B167" s="17" t="str">
        <x:v>头脑风暴</x:v>
      </x:c>
      <x:c r="C167" s="17" t="str">
        <x:v>产品框架与导航</x:v>
      </x:c>
      <x:c r="D167" s="17" t="str">
        <x:v>导航</x:v>
      </x:c>
      <x:c r="E167" s="17" t="str">
        <x:v>小地图</x:v>
      </x:c>
      <x:c r="F167" s="17" t="str">
        <x:v>小地图</x:v>
      </x:c>
      <x:c r="G167" s="17" t="str">
        <x:v>根据节点范围生成实时小地图。</x:v>
      </x:c>
      <x:c r="H167" s="17" t="str">
        <x:v>✅ 已核验</x:v>
      </x:c>
      <x:c r="I167" s="17" t="str">
        <x:v>已有历史/自动验收证据；V2.0仍待用户逐项人工确认</x:v>
      </x:c>
      <x:c r="J167" s="17" t="str">
        <x:v>C-09</x:v>
      </x:c>
      <x:c r="K167" s="17" t="str">
        <x:v>【历史需求记录；非逐字聊天原文】小地图</x:v>
      </x:c>
      <x:c r="L167" s="17" t="str">
        <x:v>是（V1.13完整迁移）</x:v>
      </x:c>
      <x:c r="M167" s="17" t="str">
        <x:v>PASS</x:v>
      </x:c>
    </x:row>
    <x:row r="168" ht="62" customHeight="1">
      <x:c r="A168" s="17" t="str">
        <x:v>CV-008</x:v>
      </x:c>
      <x:c r="B168" s="17" t="str">
        <x:v>头脑风暴</x:v>
      </x:c>
      <x:c r="C168" s="17" t="str">
        <x:v>产品框架与导航</x:v>
      </x:c>
      <x:c r="D168" s="17" t="str">
        <x:v>导航</x:v>
      </x:c>
      <x:c r="E168" s="17" t="str">
        <x:v>搜索节点并定位</x:v>
      </x:c>
      <x:c r="F168" s="17" t="str">
        <x:v>搜索节点并定位</x:v>
      </x:c>
      <x:c r="G168" s="17" t="str">
        <x:v>搜索结果点击后选中并居中。</x:v>
      </x:c>
      <x:c r="H168" s="17" t="str">
        <x:v>✅ 已核验</x:v>
      </x:c>
      <x:c r="I168" s="17" t="str">
        <x:v>已有历史/自动验收证据；V2.0仍待用户逐项人工确认</x:v>
      </x:c>
      <x:c r="J168" s="17" t="str">
        <x:v>C-08</x:v>
      </x:c>
      <x:c r="K168" s="17" t="str">
        <x:v>【历史需求记录；非逐字聊天原文】搜索节点并定位</x:v>
      </x:c>
      <x:c r="L168" s="17" t="str">
        <x:v>是（V1.13完整迁移）</x:v>
      </x:c>
      <x:c r="M168" s="17" t="str">
        <x:v>PASS</x:v>
      </x:c>
    </x:row>
    <x:row r="169" ht="62" customHeight="1">
      <x:c r="A169" s="17" t="str">
        <x:v>CV-009</x:v>
      </x:c>
      <x:c r="B169" s="17" t="str">
        <x:v>头脑风暴</x:v>
      </x:c>
      <x:c r="C169" s="17" t="str">
        <x:v>产品框架与导航</x:v>
      </x:c>
      <x:c r="D169" s="17" t="str">
        <x:v>导航</x:v>
      </x:c>
      <x:c r="E169" s="17" t="str">
        <x:v>画布缩放/100%/显示全部/回中心</x:v>
      </x:c>
      <x:c r="F169" s="17" t="str">
        <x:v>画布缩放/100%/显示全部/回中心</x:v>
      </x:c>
      <x:c r="G169" s="17" t="str">
        <x:v>统一视图导航与缩放。</x:v>
      </x:c>
      <x:c r="H169" s="17" t="str">
        <x:v>✅ 已核验</x:v>
      </x:c>
      <x:c r="I169" s="17" t="str">
        <x:v>已有历史/自动验收证据；V2.0仍待用户逐项人工确认</x:v>
      </x:c>
      <x:c r="J169" s="17" t="str">
        <x:v>C-10</x:v>
      </x:c>
      <x:c r="K169" s="17" t="str">
        <x:v>【历史需求记录；非逐字聊天原文】画布缩放/100%/显示全部/回中心</x:v>
      </x:c>
      <x:c r="L169" s="17" t="str">
        <x:v>是（V1.13完整迁移）</x:v>
      </x:c>
      <x:c r="M169" s="17" t="str">
        <x:v>PASS</x:v>
      </x:c>
    </x:row>
    <x:row r="170" ht="62" customHeight="1">
      <x:c r="A170" s="17" t="str">
        <x:v>CV-010</x:v>
      </x:c>
      <x:c r="B170" s="17" t="str">
        <x:v>头脑风暴</x:v>
      </x:c>
      <x:c r="C170" s="17" t="str">
        <x:v>产品框架与导航</x:v>
      </x:c>
      <x:c r="D170" s="17" t="str">
        <x:v>总体</x:v>
      </x:c>
      <x:c r="E170" s="17" t="str">
        <x:v>流程画布作为头脑风暴/流程设计工具，可本地独立运行</x:v>
      </x:c>
      <x:c r="F170" s="17" t="str">
        <x:v>流程画布作为头脑风暴/流程设计工具，可本地独立运行</x:v>
      </x:c>
      <x:c r="G170" s="17" t="str">
        <x:v>单文件HTML本地运行；nodes/edges为核心数据模型。</x:v>
      </x:c>
      <x:c r="H170" s="17" t="str">
        <x:v>✅ 已核验</x:v>
      </x:c>
      <x:c r="I170" s="17" t="str">
        <x:v>已有历史/自动验收证据；V2.0仍待用户逐项人工确认</x:v>
      </x:c>
      <x:c r="J170" s="17" t="str">
        <x:v>C-01</x:v>
      </x:c>
      <x:c r="K170" s="17" t="str">
        <x:v>【历史需求记录；非逐字聊天原文】流程画布作为头脑风暴/流程设计工具，可本地独立运行</x:v>
      </x:c>
      <x:c r="L170" s="17" t="str">
        <x:v>是（V1.13完整迁移）</x:v>
      </x:c>
      <x:c r="M170" s="17" t="str">
        <x:v>PASS</x:v>
      </x:c>
    </x:row>
    <x:row r="171" ht="62" customHeight="1">
      <x:c r="A171" s="17" t="str">
        <x:v>CV-011</x:v>
      </x:c>
      <x:c r="B171" s="17" t="str">
        <x:v>头脑风暴</x:v>
      </x:c>
      <x:c r="C171" s="17" t="str">
        <x:v>产品框架与导航</x:v>
      </x:c>
      <x:c r="D171" s="17" t="str">
        <x:v>菜单</x:v>
      </x:c>
      <x:c r="E171" s="17" t="str">
        <x:v>合并菜单后原功能不能缺少</x:v>
      </x:c>
      <x:c r="F171" s="17" t="str">
        <x:v>合并菜单后原功能不能缺少</x:v>
      </x:c>
      <x:c r="G171" s="17" t="str">
        <x:v>菜单重组只改变入口，不删除历史功能；做回归校核。</x:v>
      </x:c>
      <x:c r="H171" s="17" t="str">
        <x:v>✅ 已核验</x:v>
      </x:c>
      <x:c r="I171" s="17" t="str">
        <x:v>已有历史/自动验收证据；V2.0仍待用户逐项人工确认</x:v>
      </x:c>
      <x:c r="J171" s="17" t="str">
        <x:v>C-03</x:v>
      </x:c>
      <x:c r="K171" s="17" t="str">
        <x:v>【历史需求记录；非逐字聊天原文】合并菜单后原功能不能缺少</x:v>
      </x:c>
      <x:c r="L171" s="17" t="str">
        <x:v>是（V1.13完整迁移）</x:v>
      </x:c>
      <x:c r="M171" s="17" t="str">
        <x:v>PASS</x:v>
      </x:c>
    </x:row>
    <x:row r="172" ht="62" customHeight="1">
      <x:c r="A172" s="17" t="str">
        <x:v>CV-012</x:v>
      </x:c>
      <x:c r="B172" s="17" t="str">
        <x:v>头脑风暴</x:v>
      </x:c>
      <x:c r="C172" s="17" t="str">
        <x:v>产品框架与导航</x:v>
      </x:c>
      <x:c r="D172" s="17" t="str">
        <x:v>菜单</x:v>
      </x:c>
      <x:c r="E172" s="17" t="str">
        <x:v>撤销/恢复作为置顶项</x:v>
      </x:c>
      <x:c r="F172" s="17" t="str">
        <x:v>撤销/恢复作为置顶项</x:v>
      </x:c>
      <x:c r="G172" s="17" t="str">
        <x:v>顶栏常驻undo/redo，保留Ctrl+Z/Ctrl+Y。</x:v>
      </x:c>
      <x:c r="H172" s="17" t="str">
        <x:v>✅ 已核验</x:v>
      </x:c>
      <x:c r="I172" s="17" t="str">
        <x:v>已有历史/自动验收证据；V2.0仍待用户逐项人工确认</x:v>
      </x:c>
      <x:c r="J172" s="17" t="str">
        <x:v>C-04</x:v>
      </x:c>
      <x:c r="K172" s="17" t="str">
        <x:v>【历史需求记录；非逐字聊天原文】撤销/恢复作为置顶项</x:v>
      </x:c>
      <x:c r="L172" s="17" t="str">
        <x:v>是（V1.13完整迁移）</x:v>
      </x:c>
      <x:c r="M172" s="17" t="str">
        <x:v>PASS</x:v>
      </x:c>
    </x:row>
    <x:row r="173" ht="62" customHeight="1">
      <x:c r="A173" s="17" t="str">
        <x:v>CV-013</x:v>
      </x:c>
      <x:c r="B173" s="17" t="str">
        <x:v>头脑风暴</x:v>
      </x:c>
      <x:c r="C173" s="17" t="str">
        <x:v>产品框架与导航</x:v>
      </x:c>
      <x:c r="D173" s="17" t="str">
        <x:v>菜单</x:v>
      </x:c>
      <x:c r="E173" s="17" t="str">
        <x:v>顶部功能重新归并，避免按钮铺满</x:v>
      </x:c>
      <x:c r="F173" s="17" t="str">
        <x:v>顶部功能重新归并，避免按钮铺满</x:v>
      </x:c>
      <x:c r="G173" s="17" t="str">
        <x:v>主菜单归并为文件/编辑/视图，减少工具栏拥挤。</x:v>
      </x:c>
      <x:c r="H173" s="17" t="str">
        <x:v>✅ 已核验</x:v>
      </x:c>
      <x:c r="I173" s="17" t="str">
        <x:v>已有历史/自动验收证据；V2.0仍待用户逐项人工确认</x:v>
      </x:c>
      <x:c r="J173" s="17" t="str">
        <x:v>C-02</x:v>
      </x:c>
      <x:c r="K173" s="17" t="str">
        <x:v>【历史需求记录；非逐字聊天原文】顶部功能重新归并，避免按钮铺满</x:v>
      </x:c>
      <x:c r="L173" s="17" t="str">
        <x:v>是（V1.13完整迁移）</x:v>
      </x:c>
      <x:c r="M173" s="17" t="str">
        <x:v>PASS</x:v>
      </x:c>
    </x:row>
    <x:row r="174" ht="62" customHeight="1">
      <x:c r="A174" s="17" t="str">
        <x:v>CV-014</x:v>
      </x:c>
      <x:c r="B174" s="17" t="str">
        <x:v>头脑风暴</x:v>
      </x:c>
      <x:c r="C174" s="17" t="str">
        <x:v>数据配平与联动</x:v>
      </x:c>
      <x:c r="D174" s="17" t="str">
        <x:v>配平</x:v>
      </x:c>
      <x:c r="E174" s="17" t="str">
        <x:v>一进一出默认跟随上一节点数据</x:v>
      </x:c>
      <x:c r="F174" s="17" t="str">
        <x:v>一进一出默认跟随上一节点数据</x:v>
      </x:c>
      <x:c r="G174" s="17" t="str">
        <x:v>calcMode=auto且单出线时等于进项合计。</x:v>
      </x:c>
      <x:c r="H174" s="17" t="str">
        <x:v>✅ 已核验</x:v>
      </x:c>
      <x:c r="I174" s="17" t="str">
        <x:v>已有历史/自动验收证据；V2.0仍待用户逐项人工确认</x:v>
      </x:c>
      <x:c r="J174" s="17" t="str">
        <x:v>C-59</x:v>
      </x:c>
      <x:c r="K174" s="17" t="str">
        <x:v>【历史需求记录；非逐字聊天原文】一进一出默认跟随上一节点数据</x:v>
      </x:c>
      <x:c r="L174" s="17" t="str">
        <x:v>是（V1.13完整迁移）</x:v>
      </x:c>
      <x:c r="M174" s="17" t="str">
        <x:v>PASS</x:v>
      </x:c>
    </x:row>
    <x:row r="175" ht="62" customHeight="1">
      <x:c r="A175" s="17" t="str">
        <x:v>CV-015</x:v>
      </x:c>
      <x:c r="B175" s="17" t="str">
        <x:v>头脑风暴</x:v>
      </x:c>
      <x:c r="C175" s="17" t="str">
        <x:v>数据配平与联动</x:v>
      </x:c>
      <x:c r="D175" s="17" t="str">
        <x:v>配平</x:v>
      </x:c>
      <x:c r="E175" s="17" t="str">
        <x:v>修改上游后检查下游失衡</x:v>
      </x:c>
      <x:c r="F175" s="17" t="str">
        <x:v>修改上游后检查下游失衡</x:v>
      </x:c>
      <x:c r="G175" s="17" t="str">
        <x:v>downstreamIssues递归遍历出边。</x:v>
      </x:c>
      <x:c r="H175" s="17" t="str">
        <x:v>✅ 已核验</x:v>
      </x:c>
      <x:c r="I175" s="17" t="str">
        <x:v>已有历史/自动验收证据；V2.0仍待用户逐项人工确认</x:v>
      </x:c>
      <x:c r="J175" s="17" t="str">
        <x:v>C-63</x:v>
      </x:c>
      <x:c r="K175" s="17" t="str">
        <x:v>【历史需求记录；非逐字聊天原文】修改上游后检查下游失衡</x:v>
      </x:c>
      <x:c r="L175" s="17" t="str">
        <x:v>是（V1.13完整迁移）</x:v>
      </x:c>
      <x:c r="M175" s="17" t="str">
        <x:v>PASS</x:v>
      </x:c>
    </x:row>
    <x:row r="176" ht="62" customHeight="1">
      <x:c r="A176" s="17" t="str">
        <x:v>CV-016</x:v>
      </x:c>
      <x:c r="B176" s="17" t="str">
        <x:v>头脑风暴</x:v>
      </x:c>
      <x:c r="C176" s="17" t="str">
        <x:v>数据配平与联动</x:v>
      </x:c>
      <x:c r="D176" s="17" t="str">
        <x:v>配平</x:v>
      </x:c>
      <x:c r="E176" s="17" t="str">
        <x:v>单位列默认隐藏</x:v>
      </x:c>
      <x:c r="F176" s="17" t="str">
        <x:v>单位列默认隐藏</x:v>
      </x:c>
      <x:c r="G176" s="17" t="str">
        <x:v>showBalanceUnit默认false。</x:v>
      </x:c>
      <x:c r="H176" s="17" t="str">
        <x:v>✅ 已核验</x:v>
      </x:c>
      <x:c r="I176" s="17" t="str">
        <x:v>已有历史/自动验收证据；V2.0仍待用户逐项人工确认</x:v>
      </x:c>
      <x:c r="J176" s="17" t="str">
        <x:v>C-66</x:v>
      </x:c>
      <x:c r="K176" s="17" t="str">
        <x:v>【历史需求记录；非逐字聊天原文】单位列默认隐藏</x:v>
      </x:c>
      <x:c r="L176" s="17" t="str">
        <x:v>是（V1.13完整迁移）</x:v>
      </x:c>
      <x:c r="M176" s="17" t="str">
        <x:v>PASS</x:v>
      </x:c>
    </x:row>
    <x:row r="177" ht="62" customHeight="1">
      <x:c r="A177" s="17" t="str">
        <x:v>CV-017</x:v>
      </x:c>
      <x:c r="B177" s="17" t="str">
        <x:v>头脑风暴</x:v>
      </x:c>
      <x:c r="C177" s="17" t="str">
        <x:v>数据配平与联动</x:v>
      </x:c>
      <x:c r="D177" s="17" t="str">
        <x:v>配平</x:v>
      </x:c>
      <x:c r="E177" s="17" t="str">
        <x:v>支持强制跟随上游</x:v>
      </x:c>
      <x:c r="F177" s="17" t="str">
        <x:v>支持强制跟随上游</x:v>
      </x:c>
      <x:c r="G177" s="17" t="str">
        <x:v>follow模式等于当前进项。</x:v>
      </x:c>
      <x:c r="H177" s="17" t="str">
        <x:v>✅ 已核验</x:v>
      </x:c>
      <x:c r="I177" s="17" t="str">
        <x:v>已有历史/自动验收证据；V2.0仍待用户逐项人工确认</x:v>
      </x:c>
      <x:c r="J177" s="17" t="str">
        <x:v>C-62</x:v>
      </x:c>
      <x:c r="K177" s="17" t="str">
        <x:v>【历史需求记录；非逐字聊天原文】支持强制跟随上游</x:v>
      </x:c>
      <x:c r="L177" s="17" t="str">
        <x:v>是（V1.13完整迁移）</x:v>
      </x:c>
      <x:c r="M177" s="17" t="str">
        <x:v>PASS</x:v>
      </x:c>
    </x:row>
    <x:row r="178" ht="62" customHeight="1">
      <x:c r="A178" s="17" t="str">
        <x:v>CV-018</x:v>
      </x:c>
      <x:c r="B178" s="17" t="str">
        <x:v>头脑风暴</x:v>
      </x:c>
      <x:c r="C178" s="17" t="str">
        <x:v>数据配平与联动</x:v>
      </x:c>
      <x:c r="D178" s="17" t="str">
        <x:v>配平</x:v>
      </x:c>
      <x:c r="E178" s="17" t="str">
        <x:v>支持自动补差</x:v>
      </x:c>
      <x:c r="F178" s="17" t="str">
        <x:v>支持自动补差</x:v>
      </x:c>
      <x:c r="G178" s="17" t="str">
        <x:v>balance模式=进项-其他固定出项。</x:v>
      </x:c>
      <x:c r="H178" s="17" t="str">
        <x:v>✅ 已核验</x:v>
      </x:c>
      <x:c r="I178" s="17" t="str">
        <x:v>已有历史/自动验收证据；V2.0仍待用户逐项人工确认</x:v>
      </x:c>
      <x:c r="J178" s="17" t="str">
        <x:v>C-61</x:v>
      </x:c>
      <x:c r="K178" s="17" t="str">
        <x:v>【历史需求记录；非逐字聊天原文】支持自动补差</x:v>
      </x:c>
      <x:c r="L178" s="17" t="str">
        <x:v>是（V1.13完整迁移）</x:v>
      </x:c>
      <x:c r="M178" s="17" t="str">
        <x:v>PASS</x:v>
      </x:c>
    </x:row>
    <x:row r="179" ht="62" customHeight="1">
      <x:c r="A179" s="17" t="str">
        <x:v>CV-019</x:v>
      </x:c>
      <x:c r="B179" s="17" t="str">
        <x:v>头脑风暴</x:v>
      </x:c>
      <x:c r="C179" s="17" t="str">
        <x:v>数据配平与联动</x:v>
      </x:c>
      <x:c r="D179" s="17" t="str">
        <x:v>配平</x:v>
      </x:c>
      <x:c r="E179" s="17" t="str">
        <x:v>未配平中心框图红色标识</x:v>
      </x:c>
      <x:c r="F179" s="17" t="str">
        <x:v>未配平中心框图红色标识</x:v>
      </x:c>
      <x:c r="G179" s="17" t="str">
        <x:v>balance bad时节点红框+失衡标签。</x:v>
      </x:c>
      <x:c r="H179" s="17" t="str">
        <x:v>✅ 已核验</x:v>
      </x:c>
      <x:c r="I179" s="17" t="str">
        <x:v>已有历史/自动验收证据；V2.0仍待用户逐项人工确认</x:v>
      </x:c>
      <x:c r="J179" s="17" t="str">
        <x:v>C-64</x:v>
      </x:c>
      <x:c r="K179" s="17" t="str">
        <x:v>【历史需求记录；非逐字聊天原文】未配平中心框图红色标识</x:v>
      </x:c>
      <x:c r="L179" s="17" t="str">
        <x:v>是（V1.13完整迁移）</x:v>
      </x:c>
      <x:c r="M179" s="17" t="str">
        <x:v>PASS</x:v>
      </x:c>
    </x:row>
    <x:row r="180" ht="62" customHeight="1">
      <x:c r="A180" s="17" t="str">
        <x:v>CV-020</x:v>
      </x:c>
      <x:c r="B180" s="17" t="str">
        <x:v>头脑风暴</x:v>
      </x:c>
      <x:c r="C180" s="17" t="str">
        <x:v>数据配平与联动</x:v>
      </x:c>
      <x:c r="D180" s="17" t="str">
        <x:v>配平</x:v>
      </x:c>
      <x:c r="E180" s="17" t="str">
        <x:v>自动求进项合计/出项合计/差额/状态</x:v>
      </x:c>
      <x:c r="F180" s="17" t="str">
        <x:v>自动求进项合计/出项合计/差额/状态</x:v>
      </x:c>
      <x:c r="G180" s="17" t="str">
        <x:v>balance()实时计算。</x:v>
      </x:c>
      <x:c r="H180" s="17" t="str">
        <x:v>✅ 已核验</x:v>
      </x:c>
      <x:c r="I180" s="17" t="str">
        <x:v>已有历史/自动验收证据；V2.0仍待用户逐项人工确认</x:v>
      </x:c>
      <x:c r="J180" s="17" t="str">
        <x:v>C-56</x:v>
      </x:c>
      <x:c r="K180" s="17" t="str">
        <x:v>【历史需求记录；非逐字聊天原文】自动求进项合计/出项合计/差额/状态</x:v>
      </x:c>
      <x:c r="L180" s="17" t="str">
        <x:v>是（V1.13完整迁移）</x:v>
      </x:c>
      <x:c r="M180" s="17" t="str">
        <x:v>PASS</x:v>
      </x:c>
    </x:row>
    <x:row r="181" ht="62" customHeight="1">
      <x:c r="A181" s="17" t="str">
        <x:v>CV-021</x:v>
      </x:c>
      <x:c r="B181" s="17" t="str">
        <x:v>头脑风暴</x:v>
      </x:c>
      <x:c r="C181" s="17" t="str">
        <x:v>数据配平与联动</x:v>
      </x:c>
      <x:c r="D181" s="17" t="str">
        <x:v>配平</x:v>
      </x:c>
      <x:c r="E181" s="17" t="str">
        <x:v>节点自动识别进项/出项</x:v>
      </x:c>
      <x:c r="F181" s="17" t="str">
        <x:v>节点自动识别进项/出项</x:v>
      </x:c>
      <x:c r="G181" s="17" t="str">
        <x:v>incoming/outgoing按source/target查询。</x:v>
      </x:c>
      <x:c r="H181" s="17" t="str">
        <x:v>✅ 已核验</x:v>
      </x:c>
      <x:c r="I181" s="17" t="str">
        <x:v>已有历史/自动验收证据；V2.0仍待用户逐项人工确认</x:v>
      </x:c>
      <x:c r="J181" s="17" t="str">
        <x:v>C-55</x:v>
      </x:c>
      <x:c r="K181" s="17" t="str">
        <x:v>【历史需求记录；非逐字聊天原文】节点自动识别进项/出项</x:v>
      </x:c>
      <x:c r="L181" s="17" t="str">
        <x:v>是（V1.13完整迁移）</x:v>
      </x:c>
      <x:c r="M181" s="17" t="str">
        <x:v>PASS</x:v>
      </x:c>
    </x:row>
    <x:row r="182" ht="62" customHeight="1">
      <x:c r="A182" s="17" t="str">
        <x:v>CV-022</x:v>
      </x:c>
      <x:c r="B182" s="17" t="str">
        <x:v>头脑风暴</x:v>
      </x:c>
      <x:c r="C182" s="17" t="str">
        <x:v>数据配平与联动</x:v>
      </x:c>
      <x:c r="D182" s="17" t="str">
        <x:v>配平</x:v>
      </x:c>
      <x:c r="E182" s="17" t="str">
        <x:v>节点角色区分源头/过程/末端</x:v>
      </x:c>
      <x:c r="F182" s="17" t="str">
        <x:v>节点角色区分源头/过程/末端</x:v>
      </x:c>
      <x:c r="G182" s="17" t="str">
        <x:v>自动/人工role，源头末端豁免。</x:v>
      </x:c>
      <x:c r="H182" s="17" t="str">
        <x:v>✅ 已核验</x:v>
      </x:c>
      <x:c r="I182" s="17" t="str">
        <x:v>已有历史/自动验收证据；V2.0仍待用户逐项人工确认</x:v>
      </x:c>
      <x:c r="J182" s="17" t="str">
        <x:v>C-57</x:v>
      </x:c>
      <x:c r="K182" s="17" t="str">
        <x:v>【历史需求记录；非逐字聊天原文】节点角色区分源头/过程/末端</x:v>
      </x:c>
      <x:c r="L182" s="17" t="str">
        <x:v>是（V1.13完整迁移）</x:v>
      </x:c>
      <x:c r="M182" s="17" t="str">
        <x:v>PASS</x:v>
      </x:c>
    </x:row>
    <x:row r="183" ht="62" customHeight="1">
      <x:c r="A183" s="17" t="str">
        <x:v>CV-023</x:v>
      </x:c>
      <x:c r="B183" s="17" t="str">
        <x:v>头脑风暴</x:v>
      </x:c>
      <x:c r="C183" s="17" t="str">
        <x:v>数据配平与联动</x:v>
      </x:c>
      <x:c r="D183" s="17" t="str">
        <x:v>配平</x:v>
      </x:c>
      <x:c r="E183" s="17" t="str">
        <x:v>设定比例后，上游数据变化，后续自动更新</x:v>
      </x:c>
      <x:c r="F183" s="17" t="str">
        <x:v>设定比例后，上游数据变化，后续自动更新</x:v>
      </x:c>
      <x:c r="G183" s="17" t="str">
        <x:v>percent=进项×percentage，多轮传播。</x:v>
      </x:c>
      <x:c r="H183" s="17" t="str">
        <x:v>✅ 已核验</x:v>
      </x:c>
      <x:c r="I183" s="17" t="str">
        <x:v>已有历史/自动验收证据；V2.0仍待用户逐项人工确认</x:v>
      </x:c>
      <x:c r="J183" s="17" t="str">
        <x:v>C-60</x:v>
      </x:c>
      <x:c r="K183" s="17" t="str">
        <x:v>【历史需求记录；非逐字聊天原文】设定比例后，上游数据变化，后续自动更新</x:v>
      </x:c>
      <x:c r="L183" s="17" t="str">
        <x:v>是（V1.13完整迁移）</x:v>
      </x:c>
      <x:c r="M183" s="17" t="str">
        <x:v>PASS</x:v>
      </x:c>
    </x:row>
    <x:row r="184" ht="62" customHeight="1">
      <x:c r="A184" s="17" t="str">
        <x:v>CV-024</x:v>
      </x:c>
      <x:c r="B184" s="17" t="str">
        <x:v>头脑风暴</x:v>
      </x:c>
      <x:c r="C184" s="17" t="str">
        <x:v>数据配平与联动</x:v>
      </x:c>
      <x:c r="D184" s="17" t="str">
        <x:v>配平</x:v>
      </x:c>
      <x:c r="E184" s="17" t="str">
        <x:v>配平表和图形同时查看，不要底部进度条</x:v>
      </x:c>
      <x:c r="F184" s="17" t="str">
        <x:v>配平表和图形同时查看，不要底部进度条</x:v>
      </x:c>
      <x:c r="G184" s="17" t="str">
        <x:v>侧栏打开画布让位；不用底部横向进度条。</x:v>
      </x:c>
      <x:c r="H184" s="17" t="str">
        <x:v>✅ 已核验</x:v>
      </x:c>
      <x:c r="I184" s="17" t="str">
        <x:v>已有历史/自动验收证据；V2.0仍待用户逐项人工确认</x:v>
      </x:c>
      <x:c r="J184" s="17" t="str">
        <x:v>C-65</x:v>
      </x:c>
      <x:c r="K184" s="17" t="str">
        <x:v>【历史需求记录；非逐字聊天原文】配平表和图形同时查看，不要底部进度条</x:v>
      </x:c>
      <x:c r="L184" s="17" t="str">
        <x:v>是（V1.13完整迁移）</x:v>
      </x:c>
      <x:c r="M184" s="17" t="str">
        <x:v>PASS</x:v>
      </x:c>
    </x:row>
    <x:row r="185" ht="62" customHeight="1">
      <x:c r="A185" s="17" t="str">
        <x:v>CV-025</x:v>
      </x:c>
      <x:c r="B185" s="17" t="str">
        <x:v>头脑风暴</x:v>
      </x:c>
      <x:c r="C185" s="17" t="str">
        <x:v>数据配平与联动</x:v>
      </x:c>
      <x:c r="D185" s="17" t="str">
        <x:v>配平</x:v>
      </x:c>
      <x:c r="E185" s="17" t="str">
        <x:v>配平表数字可直接修改，修改后图形同步</x:v>
      </x:c>
      <x:c r="F185" s="17" t="str">
        <x:v>配平表数字可直接修改，修改后图形同步</x:v>
      </x:c>
      <x:c r="G185" s="17" t="str">
        <x:v>修改quantity写回edge并recalcAll/render。</x:v>
      </x:c>
      <x:c r="H185" s="17" t="str">
        <x:v>✅ 已核验</x:v>
      </x:c>
      <x:c r="I185" s="17" t="str">
        <x:v>已有历史/自动验收证据；V2.0仍待用户逐项人工确认</x:v>
      </x:c>
      <x:c r="J185" s="17" t="str">
        <x:v>C-58</x:v>
      </x:c>
      <x:c r="K185" s="17" t="str">
        <x:v>【历史需求记录；非逐字聊天原文】配平表数字可直接修改，修改后图形同步</x:v>
      </x:c>
      <x:c r="L185" s="17" t="str">
        <x:v>是（V1.13完整迁移）</x:v>
      </x:c>
      <x:c r="M185" s="17" t="str">
        <x:v>PASS</x:v>
      </x:c>
    </x:row>
    <x:row r="186" ht="62" customHeight="1">
      <x:c r="A186" s="17" t="str">
        <x:v>CV-026</x:v>
      </x:c>
      <x:c r="B186" s="17" t="str">
        <x:v>头脑风暴</x:v>
      </x:c>
      <x:c r="C186" s="17" t="str">
        <x:v>节点结构与布局</x:v>
      </x:c>
      <x:c r="D186" s="17" t="str">
        <x:v>Smart布局</x:v>
      </x:c>
      <x:c r="E186" s="17" t="str">
        <x:v>LR左/上/下/右与TB上/右/下/左按方向转置</x:v>
      </x:c>
      <x:c r="F186" s="17" t="str">
        <x:v>LR左/上/下/右与TB上/右/下/左按方向转置</x:v>
      </x:c>
      <x:c r="G186" s="17" t="str">
        <x:v>箭头操作语义随布局转置，数据关系不变。</x:v>
      </x:c>
      <x:c r="H186" s="17" t="str">
        <x:v>✅ 已核验</x:v>
      </x:c>
      <x:c r="I186" s="17" t="str">
        <x:v>已有历史/自动验收证据；V2.0仍待用户逐项人工确认</x:v>
      </x:c>
      <x:c r="J186" s="17" t="str">
        <x:v>C-20</x:v>
      </x:c>
      <x:c r="K186" s="17" t="str">
        <x:v>【历史需求记录；非逐字聊天原文】LR左/上/下/右与TB上/右/下/左按方向转置</x:v>
      </x:c>
      <x:c r="L186" s="17" t="str">
        <x:v>是（V1.13完整迁移）</x:v>
      </x:c>
      <x:c r="M186" s="17" t="str">
        <x:v>PASS</x:v>
      </x:c>
    </x:row>
    <x:row r="187" ht="62" customHeight="1">
      <x:c r="A187" s="17" t="str">
        <x:v>CV-027</x:v>
      </x:c>
      <x:c r="B187" s="17" t="str">
        <x:v>头脑风暴</x:v>
      </x:c>
      <x:c r="C187" s="17" t="str">
        <x:v>节点结构与布局</x:v>
      </x:c>
      <x:c r="D187" s="17" t="str">
        <x:v>Smart布局</x:v>
      </x:c>
      <x:c r="E187" s="17" t="str">
        <x:v>TB默认父级下出 → 子级上进</x:v>
      </x:c>
      <x:c r="F187" s="17" t="str">
        <x:v>TB默认父级下出 → 子级上进</x:v>
      </x:c>
      <x:c r="G187" s="17" t="str">
        <x:v>TB defaultPorts bottom→top。</x:v>
      </x:c>
      <x:c r="H187" s="17" t="str">
        <x:v>✅ 已核验</x:v>
      </x:c>
      <x:c r="I187" s="17" t="str">
        <x:v>已有历史/自动验收证据；V2.0仍待用户逐项人工确认</x:v>
      </x:c>
      <x:c r="J187" s="17" t="str">
        <x:v>C-21</x:v>
      </x:c>
      <x:c r="K187" s="17" t="str">
        <x:v>【历史需求记录；非逐字聊天原文】TB默认父级下出 → 子级上进</x:v>
      </x:c>
      <x:c r="L187" s="17" t="str">
        <x:v>是（V1.13完整迁移）</x:v>
      </x:c>
      <x:c r="M187" s="17" t="str">
        <x:v>PASS</x:v>
      </x:c>
    </x:row>
    <x:row r="188" ht="62" customHeight="1">
      <x:c r="A188" s="17" t="str">
        <x:v>CV-028</x:v>
      </x:c>
      <x:c r="B188" s="17" t="str">
        <x:v>头脑风暴</x:v>
      </x:c>
      <x:c r="C188" s="17" t="str">
        <x:v>节点结构与布局</x:v>
      </x:c>
      <x:c r="D188" s="17" t="str">
        <x:v>Smart布局</x:v>
      </x:c>
      <x:c r="E188" s="17" t="str">
        <x:v>TB：父级在上、子级向下、同级左右展开</x:v>
      </x:c>
      <x:c r="F188" s="17" t="str">
        <x:v>TB：父级在上、子级向下、同级左右展开</x:v>
      </x:c>
      <x:c r="G188" s="17" t="str">
        <x:v>TB主轴Y、兄弟轴X。</x:v>
      </x:c>
      <x:c r="H188" s="17" t="str">
        <x:v>✅ 已核验</x:v>
      </x:c>
      <x:c r="I188" s="17" t="str">
        <x:v>已有历史/自动验收证据；V2.0仍待用户逐项人工确认</x:v>
      </x:c>
      <x:c r="J188" s="17" t="str">
        <x:v>C-19</x:v>
      </x:c>
      <x:c r="K188" s="17" t="str">
        <x:v>【历史需求记录；非逐字聊天原文】TB：父级在上、子级向下、同级左右展开</x:v>
      </x:c>
      <x:c r="L188" s="17" t="str">
        <x:v>是（V1.13完整迁移）</x:v>
      </x:c>
      <x:c r="M188" s="17" t="str">
        <x:v>PASS</x:v>
      </x:c>
    </x:row>
    <x:row r="189" ht="62" customHeight="1">
      <x:c r="A189" s="17" t="str">
        <x:v>CV-029</x:v>
      </x:c>
      <x:c r="B189" s="17" t="str">
        <x:v>头脑风暴</x:v>
      </x:c>
      <x:c r="C189" s="17" t="str">
        <x:v>节点结构与布局</x:v>
      </x:c>
      <x:c r="D189" s="17" t="str">
        <x:v>Smart布局</x:v>
      </x:c>
      <x:c r="E189" s="17" t="str">
        <x:v>只保留两种布局：左→右、上→下</x:v>
      </x:c>
      <x:c r="F189" s="17" t="str">
        <x:v>只保留两种布局：左→右、上→下</x:v>
      </x:c>
      <x:c r="G189" s="17" t="str">
        <x:v>layoutDir仅LR/TB；早期RL/BT取消。</x:v>
      </x:c>
      <x:c r="H189" s="17" t="str">
        <x:v>✅ 已核验</x:v>
      </x:c>
      <x:c r="I189" s="17" t="str">
        <x:v>已有历史/自动验收证据；V2.0仍待用户逐项人工确认</x:v>
      </x:c>
      <x:c r="J189" s="17" t="str">
        <x:v>C-17</x:v>
      </x:c>
      <x:c r="K189" s="17" t="str">
        <x:v>【历史需求记录；非逐字聊天原文】只保留两种布局：左→右、上→下</x:v>
      </x:c>
      <x:c r="L189" s="17" t="str">
        <x:v>是（V1.13完整迁移）</x:v>
      </x:c>
      <x:c r="M189" s="17" t="str">
        <x:v>PASS</x:v>
      </x:c>
    </x:row>
    <x:row r="190" ht="62" customHeight="1">
      <x:c r="A190" s="17" t="str">
        <x:v>CV-030</x:v>
      </x:c>
      <x:c r="B190" s="17" t="str">
        <x:v>头脑风暴</x:v>
      </x:c>
      <x:c r="C190" s="17" t="str">
        <x:v>节点结构与布局</x:v>
      </x:c>
      <x:c r="D190" s="17" t="str">
        <x:v>Smart布局</x:v>
      </x:c>
      <x:c r="E190" s="17" t="str">
        <x:v>左右和上下共用同一父子树，只做显示转置</x:v>
      </x:c>
      <x:c r="F190" s="17" t="str">
        <x:v>左右和上下共用同一父子树，只做显示转置</x:v>
      </x:c>
      <x:c r="G190" s="17" t="str">
        <x:v>切换布局不改parentId，只重算坐标/默认端口。</x:v>
      </x:c>
      <x:c r="H190" s="17" t="str">
        <x:v>✅ 已核验</x:v>
      </x:c>
      <x:c r="I190" s="17" t="str">
        <x:v>已有历史/自动验收证据；V2.0仍待用户逐项人工确认</x:v>
      </x:c>
      <x:c r="J190" s="17" t="str">
        <x:v>C-18</x:v>
      </x:c>
      <x:c r="K190" s="17" t="str">
        <x:v>【历史需求记录；非逐字聊天原文】左右和上下共用同一父子树，只做显示转置</x:v>
      </x:c>
      <x:c r="L190" s="17" t="str">
        <x:v>是（V1.13完整迁移）</x:v>
      </x:c>
      <x:c r="M190" s="17" t="str">
        <x:v>PASS</x:v>
      </x:c>
    </x:row>
    <x:row r="191" ht="62" customHeight="1">
      <x:c r="A191" s="17" t="str">
        <x:v>CV-031</x:v>
      </x:c>
      <x:c r="B191" s="17" t="str">
        <x:v>头脑风暴</x:v>
      </x:c>
      <x:c r="C191" s="17" t="str">
        <x:v>节点结构与布局</x:v>
      </x:c>
      <x:c r="D191" s="17" t="str">
        <x:v>Smart快速</x:v>
      </x:c>
      <x:c r="E191" s="17" t="str">
        <x:v>参照Word/SmartArt：Tab降一级、Shift+T</x:v>
      </x:c>
      <x:c r="F191" s="17" t="str">
        <x:v>参照Word/SmartArt：Tab降一级、Shift+Tab升一级、Enter保持当前层级</x:v>
      </x:c>
      <x:c r="G191" s="17" t="str">
        <x:v>快速编辑文本区处理Tab/Shift+Tab/Enter。</x:v>
      </x:c>
      <x:c r="H191" s="17" t="str">
        <x:v>✅ 已核验</x:v>
      </x:c>
      <x:c r="I191" s="17" t="str">
        <x:v>已有历史/自动验收证据；V2.0仍待用户逐项人工确认</x:v>
      </x:c>
      <x:c r="J191" s="17" t="str">
        <x:v>C-22</x:v>
      </x:c>
      <x:c r="K191" s="17" t="str">
        <x:v>【历史需求记录；非逐字聊天原文】参照Word/SmartArt：Tab降一级、Shift+Tab升一级、Enter保持当前层级</x:v>
      </x:c>
      <x:c r="L191" s="17" t="str">
        <x:v>是（V1.13完整迁移）</x:v>
      </x:c>
      <x:c r="M191" s="17" t="str">
        <x:v>PASS</x:v>
      </x:c>
    </x:row>
    <x:row r="192" ht="62" customHeight="1">
      <x:c r="A192" s="17" t="str">
        <x:v>CV-032</x:v>
      </x:c>
      <x:c r="B192" s="17" t="str">
        <x:v>头脑风暴</x:v>
      </x:c>
      <x:c r="C192" s="17" t="str">
        <x:v>节点结构与布局</x:v>
      </x:c>
      <x:c r="D192" s="17" t="str">
        <x:v>Smart快速</x:v>
      </x:c>
      <x:c r="E192" s="17" t="str">
        <x:v>快速添加后仍能快速编辑已有文字和层级</x:v>
      </x:c>
      <x:c r="F192" s="17" t="str">
        <x:v>快速添加后仍能快速编辑已有文字和层级</x:v>
      </x:c>
      <x:c r="G192" s="17" t="str">
        <x:v>快速编辑可更新text,parentId,sortOrder。</x:v>
      </x:c>
      <x:c r="H192" s="17" t="str">
        <x:v>✅ 已核验</x:v>
      </x:c>
      <x:c r="I192" s="17" t="str">
        <x:v>已有历史/自动验收证据；V2.0仍待用户逐项人工确认</x:v>
      </x:c>
      <x:c r="J192" s="17" t="str">
        <x:v>C-23</x:v>
      </x:c>
      <x:c r="K192" s="17" t="str">
        <x:v>【历史需求记录；非逐字聊天原文】快速添加后仍能快速编辑已有文字和层级</x:v>
      </x:c>
      <x:c r="L192" s="17" t="str">
        <x:v>是（V1.13完整迁移）</x:v>
      </x:c>
      <x:c r="M192" s="17" t="str">
        <x:v>PASS</x:v>
      </x:c>
    </x:row>
    <x:row r="193" ht="62" customHeight="1">
      <x:c r="A193" s="17" t="str">
        <x:v>CV-033</x:v>
      </x:c>
      <x:c r="B193" s="17" t="str">
        <x:v>头脑风暴</x:v>
      </x:c>
      <x:c r="C193" s="17" t="str">
        <x:v>节点结构与布局</x:v>
      </x:c>
      <x:c r="D193" s="17" t="str">
        <x:v>四箭头</x:v>
      </x:c>
      <x:c r="E193" s="17" t="str">
        <x:v>LR：← 建立/插入前一级；B1/B2可选择共同父级且原图不</x:v>
      </x:c>
      <x:c r="F193" s="17" t="str">
        <x:v>LR：← 建立/插入前一级；B1/B2可选择共同父级且原图不移动</x:v>
      </x:c>
      <x:c r="G193" s="17" t="str">
        <x:v>提供仅当前/当前及同级两种重构；不搬动原节点坐标。</x:v>
      </x:c>
      <x:c r="H193" s="17" t="str">
        <x:v>✅ 已核验</x:v>
      </x:c>
      <x:c r="I193" s="17" t="str">
        <x:v>已有历史/自动验收证据；V2.0仍待用户逐项人工确认</x:v>
      </x:c>
      <x:c r="J193" s="17" t="str">
        <x:v>C-15</x:v>
      </x:c>
      <x:c r="K193" s="17" t="str">
        <x:v>【历史需求记录；非逐字聊天原文】LR：← 建立/插入前一级；B1/B2可选择共同父级且原图不移动</x:v>
      </x:c>
      <x:c r="L193" s="17" t="str">
        <x:v>是（V1.13完整迁移）</x:v>
      </x:c>
      <x:c r="M193" s="17" t="str">
        <x:v>PASS</x:v>
      </x:c>
    </x:row>
    <x:row r="194" ht="62" customHeight="1">
      <x:c r="A194" s="17" t="str">
        <x:v>CV-034</x:v>
      </x:c>
      <x:c r="B194" s="17" t="str">
        <x:v>头脑风暴</x:v>
      </x:c>
      <x:c r="C194" s="17" t="str">
        <x:v>节点结构与布局</x:v>
      </x:c>
      <x:c r="D194" s="17" t="str">
        <x:v>四箭头</x:v>
      </x:c>
      <x:c r="E194" s="17" t="str">
        <x:v>LR：↑ 当前节点提升一级</x:v>
      </x:c>
      <x:c r="F194" s="17" t="str">
        <x:v>LR：↑ 当前节点提升一级</x:v>
      </x:c>
      <x:c r="G194" s="17" t="str">
        <x:v>parentId改为祖父级并同步结构线。</x:v>
      </x:c>
      <x:c r="H194" s="17" t="str">
        <x:v>✅ 已核验</x:v>
      </x:c>
      <x:c r="I194" s="17" t="str">
        <x:v>已有历史/自动验收证据；V2.0仍待用户逐项人工确认</x:v>
      </x:c>
      <x:c r="J194" s="17" t="str">
        <x:v>C-14</x:v>
      </x:c>
      <x:c r="K194" s="17" t="str">
        <x:v>【历史需求记录；非逐字聊天原文】LR：↑ 当前节点提升一级</x:v>
      </x:c>
      <x:c r="L194" s="17" t="str">
        <x:v>是（V1.13完整迁移）</x:v>
      </x:c>
      <x:c r="M194" s="17" t="str">
        <x:v>PASS</x:v>
      </x:c>
    </x:row>
    <x:row r="195" ht="62" customHeight="1">
      <x:c r="A195" s="17" t="str">
        <x:v>CV-035</x:v>
      </x:c>
      <x:c r="B195" s="17" t="str">
        <x:v>头脑风暴</x:v>
      </x:c>
      <x:c r="C195" s="17" t="str">
        <x:v>节点结构与布局</x:v>
      </x:c>
      <x:c r="D195" s="17" t="str">
        <x:v>四箭头</x:v>
      </x:c>
      <x:c r="E195" s="17" t="str">
        <x:v>LR：→ 创建当前节点子级</x:v>
      </x:c>
      <x:c r="F195" s="17" t="str">
        <x:v>LR：→ 创建当前节点子级</x:v>
      </x:c>
      <x:c r="G195" s="17" t="str">
        <x:v>new.parentId=current.id并建立结构线。</x:v>
      </x:c>
      <x:c r="H195" s="17" t="str">
        <x:v>✅ 已核验</x:v>
      </x:c>
      <x:c r="I195" s="17" t="str">
        <x:v>已有历史/自动验收证据；V2.0仍待用户逐项人工确认</x:v>
      </x:c>
      <x:c r="J195" s="17" t="str">
        <x:v>C-12</x:v>
      </x:c>
      <x:c r="K195" s="17" t="str">
        <x:v>【历史需求记录；非逐字聊天原文】LR：→ 创建当前节点子级</x:v>
      </x:c>
      <x:c r="L195" s="17" t="str">
        <x:v>是（V1.13完整迁移）</x:v>
      </x:c>
      <x:c r="M195" s="17" t="str">
        <x:v>PASS</x:v>
      </x:c>
    </x:row>
    <x:row r="196" ht="62" customHeight="1">
      <x:c r="A196" s="17" t="str">
        <x:v>CV-036</x:v>
      </x:c>
      <x:c r="B196" s="17" t="str">
        <x:v>头脑风暴</x:v>
      </x:c>
      <x:c r="C196" s="17" t="str">
        <x:v>节点结构与布局</x:v>
      </x:c>
      <x:c r="D196" s="17" t="str">
        <x:v>四箭头</x:v>
      </x:c>
      <x:c r="E196" s="17" t="str">
        <x:v>LR：↓ 创建同父级兄弟</x:v>
      </x:c>
      <x:c r="F196" s="17" t="str">
        <x:v>LR：↓ 创建同父级兄弟</x:v>
      </x:c>
      <x:c r="G196" s="17" t="str">
        <x:v>继承parentId并更新sortOrder。</x:v>
      </x:c>
      <x:c r="H196" s="17" t="str">
        <x:v>✅ 已核验</x:v>
      </x:c>
      <x:c r="I196" s="17" t="str">
        <x:v>已有历史/自动验收证据；V2.0仍待用户逐项人工确认</x:v>
      </x:c>
      <x:c r="J196" s="17" t="str">
        <x:v>C-13</x:v>
      </x:c>
      <x:c r="K196" s="17" t="str">
        <x:v>【历史需求记录；非逐字聊天原文】LR：↓ 创建同父级兄弟</x:v>
      </x:c>
      <x:c r="L196" s="17" t="str">
        <x:v>是（V1.13完整迁移）</x:v>
      </x:c>
      <x:c r="M196" s="17" t="str">
        <x:v>PASS</x:v>
      </x:c>
    </x:row>
    <x:row r="197" ht="62" customHeight="1">
      <x:c r="A197" s="17" t="str">
        <x:v>CV-037</x:v>
      </x:c>
      <x:c r="B197" s="17" t="str">
        <x:v>头脑风暴</x:v>
      </x:c>
      <x:c r="C197" s="17" t="str">
        <x:v>节点结构与布局</x:v>
      </x:c>
      <x:c r="D197" s="17" t="str">
        <x:v>四箭头</x:v>
      </x:c>
      <x:c r="E197" s="17" t="str">
        <x:v>箭头是结构关系操作，不是简单移动图形</x:v>
      </x:c>
      <x:c r="F197" s="17" t="str">
        <x:v>箭头是结构关系操作，不是简单移动图形</x:v>
      </x:c>
      <x:c r="G197" s="17" t="str">
        <x:v>箭头修改parent/child/sibling/promote关系并重建结构线。</x:v>
      </x:c>
      <x:c r="H197" s="17" t="str">
        <x:v>✅ 已核验</x:v>
      </x:c>
      <x:c r="I197" s="17" t="str">
        <x:v>已有历史/自动验收证据；V2.0仍待用户逐项人工确认</x:v>
      </x:c>
      <x:c r="J197" s="17" t="str">
        <x:v>C-11</x:v>
      </x:c>
      <x:c r="K197" s="17" t="str">
        <x:v>【历史需求记录；非逐字聊天原文】箭头是结构关系操作，不是简单移动图形</x:v>
      </x:c>
      <x:c r="L197" s="17" t="str">
        <x:v>是（V1.13完整迁移）</x:v>
      </x:c>
      <x:c r="M197" s="17" t="str">
        <x:v>PASS</x:v>
      </x:c>
    </x:row>
    <x:row r="198" ht="62" customHeight="1">
      <x:c r="A198" s="17" t="str">
        <x:v>CV-038</x:v>
      </x:c>
      <x:c r="B198" s="17" t="str">
        <x:v>头脑风暴</x:v>
      </x:c>
      <x:c r="C198" s="17" t="str">
        <x:v>节点结构与布局</x:v>
      </x:c>
      <x:c r="D198" s="17" t="str">
        <x:v>框架样式</x:v>
      </x:c>
      <x:c r="E198" s="17" t="str">
        <x:v>提供几个默认框架样式</x:v>
      </x:c>
      <x:c r="F198" s="17" t="str">
        <x:v>提供几个默认框架样式</x:v>
      </x:c>
      <x:c r="G198" s="17" t="str">
        <x:v>圆角/矩形/胶囊/轻阴影。</x:v>
      </x:c>
      <x:c r="H198" s="17" t="str">
        <x:v>✅ 已核验</x:v>
      </x:c>
      <x:c r="I198" s="17" t="str">
        <x:v>已有历史/自动验收证据；V2.0仍待用户逐项人工确认</x:v>
      </x:c>
      <x:c r="J198" s="17" t="str">
        <x:v>C-34</x:v>
      </x:c>
      <x:c r="K198" s="17" t="str">
        <x:v>【历史需求记录；非逐字聊天原文】提供几个默认框架样式</x:v>
      </x:c>
      <x:c r="L198" s="17" t="str">
        <x:v>是（V1.13完整迁移）</x:v>
      </x:c>
      <x:c r="M198" s="17" t="str">
        <x:v>PASS</x:v>
      </x:c>
    </x:row>
    <x:row r="199" ht="62" customHeight="1">
      <x:c r="A199" s="17" t="str">
        <x:v>CV-039</x:v>
      </x:c>
      <x:c r="B199" s="17" t="str">
        <x:v>头脑风暴</x:v>
      </x:c>
      <x:c r="C199" s="17" t="str">
        <x:v>节点结构与布局</x:v>
      </x:c>
      <x:c r="D199" s="17" t="str">
        <x:v>框选节点</x:v>
      </x:c>
      <x:c r="E199" s="17" t="str">
        <x:v>所选自动对齐不能改变父子关系或固定节点</x:v>
      </x:c>
      <x:c r="F199" s="17" t="str">
        <x:v>所选自动对齐不能改变父子关系或固定节点</x:v>
      </x:c>
      <x:c r="G199" s="17" t="str">
        <x:v>只改可移动节点坐标，parentId不变，fixed跳过。</x:v>
      </x:c>
      <x:c r="H199" s="17" t="str">
        <x:v>✅ 已核验</x:v>
      </x:c>
      <x:c r="I199" s="17" t="str">
        <x:v>已有历史/自动验收证据；V2.0仍待用户逐项人工确认</x:v>
      </x:c>
      <x:c r="J199" s="17" t="str">
        <x:v>C-29</x:v>
      </x:c>
      <x:c r="K199" s="17" t="str">
        <x:v>【历史需求记录；非逐字聊天原文】所选自动对齐不能改变父子关系或固定节点</x:v>
      </x:c>
      <x:c r="L199" s="17" t="str">
        <x:v>是（V1.13完整迁移）</x:v>
      </x:c>
      <x:c r="M199" s="17" t="str">
        <x:v>PASS</x:v>
      </x:c>
    </x:row>
    <x:row r="200" ht="62" customHeight="1">
      <x:c r="A200" s="17" t="str">
        <x:v>CV-040</x:v>
      </x:c>
      <x:c r="B200" s="17" t="str">
        <x:v>头脑风暴</x:v>
      </x:c>
      <x:c r="C200" s="17" t="str">
        <x:v>节点结构与布局</x:v>
      </x:c>
      <x:c r="D200" s="17" t="str">
        <x:v>框选节点</x:v>
      </x:c>
      <x:c r="E200" s="17" t="str">
        <x:v>框选一组流程图后可自动对齐</x:v>
      </x:c>
      <x:c r="F200" s="17" t="str">
        <x:v>框选一组流程图后可自动对齐</x:v>
      </x:c>
      <x:c r="G200" s="17" t="str">
        <x:v>nodebox选择后执行所选自动对齐。</x:v>
      </x:c>
      <x:c r="H200" s="17" t="str">
        <x:v>✅ 已核验</x:v>
      </x:c>
      <x:c r="I200" s="17" t="str">
        <x:v>已有历史/自动验收证据；V2.0仍待用户逐项人工确认</x:v>
      </x:c>
      <x:c r="J200" s="17" t="str">
        <x:v>C-28</x:v>
      </x:c>
      <x:c r="K200" s="17" t="str">
        <x:v>【历史需求记录；非逐字聊天原文】框选一组流程图后可自动对齐</x:v>
      </x:c>
      <x:c r="L200" s="17" t="str">
        <x:v>是（V1.13完整迁移）</x:v>
      </x:c>
      <x:c r="M200" s="17" t="str">
        <x:v>PASS</x:v>
      </x:c>
    </x:row>
    <x:row r="201" ht="62" customHeight="1">
      <x:c r="A201" s="17" t="str">
        <x:v>CV-041</x:v>
      </x:c>
      <x:c r="B201" s="17" t="str">
        <x:v>头脑风暴</x:v>
      </x:c>
      <x:c r="C201" s="17" t="str">
        <x:v>节点结构与布局</x:v>
      </x:c>
      <x:c r="D201" s="17" t="str">
        <x:v>模板</x:v>
      </x:c>
      <x:c r="E201" s="17" t="str">
        <x:v>上下组织结构模板必须遵循TB父子/兄弟方向</x:v>
      </x:c>
      <x:c r="F201" s="17" t="str">
        <x:v>上下组织结构模板必须遵循TB父子/兄弟方向</x:v>
      </x:c>
      <x:c r="G201" s="17" t="str">
        <x:v>模板建树，统一TB布局负责位置。</x:v>
      </x:c>
      <x:c r="H201" s="17" t="str">
        <x:v>✅ 已核验</x:v>
      </x:c>
      <x:c r="I201" s="17" t="str">
        <x:v>已有历史/自动验收证据；V2.0仍待用户逐项人工确认</x:v>
      </x:c>
      <x:c r="J201" s="17" t="str">
        <x:v>C-31</x:v>
      </x:c>
      <x:c r="K201" s="17" t="str">
        <x:v>【历史需求记录；非逐字聊天原文】上下组织结构模板必须遵循TB父子/兄弟方向</x:v>
      </x:c>
      <x:c r="L201" s="17" t="str">
        <x:v>是（V1.13完整迁移）</x:v>
      </x:c>
      <x:c r="M201" s="17" t="str">
        <x:v>PASS</x:v>
      </x:c>
    </x:row>
    <x:row r="202" ht="62" customHeight="1">
      <x:c r="A202" s="17" t="str">
        <x:v>CV-042</x:v>
      </x:c>
      <x:c r="B202" s="17" t="str">
        <x:v>头脑风暴</x:v>
      </x:c>
      <x:c r="C202" s="17" t="str">
        <x:v>节点结构与布局</x:v>
      </x:c>
      <x:c r="D202" s="17" t="str">
        <x:v>模板</x:v>
      </x:c>
      <x:c r="E202" s="17" t="str">
        <x:v>标准流程模板</x:v>
      </x:c>
      <x:c r="F202" s="17" t="str">
        <x:v>标准流程模板</x:v>
      </x:c>
      <x:c r="G202" s="17" t="str">
        <x:v>以统一结构树创建标准链。</x:v>
      </x:c>
      <x:c r="H202" s="17" t="str">
        <x:v>✅ 已核验</x:v>
      </x:c>
      <x:c r="I202" s="17" t="str">
        <x:v>已有历史/自动验收证据；V2.0仍待用户逐项人工确认</x:v>
      </x:c>
      <x:c r="J202" s="17" t="str">
        <x:v>C-30</x:v>
      </x:c>
      <x:c r="K202" s="17" t="str">
        <x:v>【历史需求记录；非逐字聊天原文】标准流程模板</x:v>
      </x:c>
      <x:c r="L202" s="17" t="str">
        <x:v>是（V1.13完整迁移）</x:v>
      </x:c>
      <x:c r="M202" s="17" t="str">
        <x:v>PASS</x:v>
      </x:c>
    </x:row>
    <x:row r="203" ht="62" customHeight="1">
      <x:c r="A203" s="17" t="str">
        <x:v>CV-043</x:v>
      </x:c>
      <x:c r="B203" s="17" t="str">
        <x:v>头脑风暴</x:v>
      </x:c>
      <x:c r="C203" s="17" t="str">
        <x:v>节点结构与布局</x:v>
      </x:c>
      <x:c r="D203" s="17" t="str">
        <x:v>模板</x:v>
      </x:c>
      <x:c r="E203" s="17" t="str">
        <x:v>水平衡分流模板</x:v>
      </x:c>
      <x:c r="F203" s="17" t="str">
        <x:v>水平衡分流模板</x:v>
      </x:c>
      <x:c r="G203" s="17" t="str">
        <x:v>总用水→生产/辅助→废水，连接线保存数量/计算方式。</x:v>
      </x:c>
      <x:c r="H203" s="17" t="str">
        <x:v>✅ 已核验</x:v>
      </x:c>
      <x:c r="I203" s="17" t="str">
        <x:v>已有历史/自动验收证据；V2.0仍待用户逐项人工确认</x:v>
      </x:c>
      <x:c r="J203" s="17" t="str">
        <x:v>C-32</x:v>
      </x:c>
      <x:c r="K203" s="17" t="str">
        <x:v>【历史需求记录；非逐字聊天原文】水平衡分流模板</x:v>
      </x:c>
      <x:c r="L203" s="17" t="str">
        <x:v>是（V1.13完整迁移）</x:v>
      </x:c>
      <x:c r="M203" s="17" t="str">
        <x:v>PASS</x:v>
      </x:c>
    </x:row>
    <x:row r="204" ht="62" customHeight="1">
      <x:c r="A204" s="17" t="str">
        <x:v>CV-044</x:v>
      </x:c>
      <x:c r="B204" s="17" t="str">
        <x:v>头脑风暴</x:v>
      </x:c>
      <x:c r="C204" s="17" t="str">
        <x:v>节点结构与布局</x:v>
      </x:c>
      <x:c r="D204" s="17" t="str">
        <x:v>模板</x:v>
      </x:c>
      <x:c r="E204" s="17" t="str">
        <x:v>物料平衡汇流模板，上游方向不能反</x:v>
      </x:c>
      <x:c r="F204" s="17" t="str">
        <x:v>物料平衡汇流模板，上游方向不能反</x:v>
      </x:c>
      <x:c r="G204" s="17" t="str">
        <x:v>原料A/B source→混合/反应→产品。</x:v>
      </x:c>
      <x:c r="H204" s="17" t="str">
        <x:v>✅ 已核验</x:v>
      </x:c>
      <x:c r="I204" s="17" t="str">
        <x:v>已有历史/自动验收证据；V2.0仍待用户逐项人工确认</x:v>
      </x:c>
      <x:c r="J204" s="17" t="str">
        <x:v>C-33</x:v>
      </x:c>
      <x:c r="K204" s="17" t="str">
        <x:v>【历史需求记录；非逐字聊天原文】物料平衡汇流模板，上游方向不能反</x:v>
      </x:c>
      <x:c r="L204" s="17" t="str">
        <x:v>是（V1.13完整迁移）</x:v>
      </x:c>
      <x:c r="M204" s="17" t="str">
        <x:v>PASS</x:v>
      </x:c>
    </x:row>
    <x:row r="205" ht="62" customHeight="1">
      <x:c r="A205" s="17" t="str">
        <x:v>CV-045</x:v>
      </x:c>
      <x:c r="B205" s="17" t="str">
        <x:v>头脑风暴</x:v>
      </x:c>
      <x:c r="C205" s="17" t="str">
        <x:v>节点结构与布局</x:v>
      </x:c>
      <x:c r="D205" s="17" t="str">
        <x:v>编辑</x:v>
      </x:c>
      <x:c r="E205" s="17" t="str">
        <x:v>右键提供常用节点操作</x:v>
      </x:c>
      <x:c r="F205" s="17" t="str">
        <x:v>右键提供常用节点操作</x:v>
      </x:c>
      <x:c r="G205" s="17" t="str">
        <x:v>右键包含编辑、四箭头、复制、删除。</x:v>
      </x:c>
      <x:c r="H205" s="17" t="str">
        <x:v>✅ 已核验</x:v>
      </x:c>
      <x:c r="I205" s="17" t="str">
        <x:v>已有历史/自动验收证据；V2.0仍待用户逐项人工确认</x:v>
      </x:c>
      <x:c r="J205" s="17" t="str">
        <x:v>C-07</x:v>
      </x:c>
      <x:c r="K205" s="17" t="str">
        <x:v>【历史需求记录；非逐字聊天原文】右键提供常用节点操作</x:v>
      </x:c>
      <x:c r="L205" s="17" t="str">
        <x:v>是（V1.13完整迁移）</x:v>
      </x:c>
      <x:c r="M205" s="17" t="str">
        <x:v>PASS</x:v>
      </x:c>
    </x:row>
    <x:row r="206" ht="62" customHeight="1">
      <x:c r="A206" s="17" t="str">
        <x:v>CV-046</x:v>
      </x:c>
      <x:c r="B206" s="17" t="str">
        <x:v>头脑风暴</x:v>
      </x:c>
      <x:c r="C206" s="17" t="str">
        <x:v>节点结构与布局</x:v>
      </x:c>
      <x:c r="D206" s="17" t="str">
        <x:v>编辑</x:v>
      </x:c>
      <x:c r="E206" s="17" t="str">
        <x:v>复制/粘贴/删除节点</x:v>
      </x:c>
      <x:c r="F206" s="17" t="str">
        <x:v>复制/粘贴/删除节点</x:v>
      </x:c>
      <x:c r="G206" s="17" t="str">
        <x:v>节点复制粘贴；删除后下级自动接回原父级。</x:v>
      </x:c>
      <x:c r="H206" s="17" t="str">
        <x:v>✅ 已核验</x:v>
      </x:c>
      <x:c r="I206" s="17" t="str">
        <x:v>已有历史/自动验收证据；V2.0仍待用户逐项人工确认</x:v>
      </x:c>
      <x:c r="J206" s="17" t="str">
        <x:v>C-06</x:v>
      </x:c>
      <x:c r="K206" s="17" t="str">
        <x:v>【历史需求记录；非逐字聊天原文】复制/粘贴/删除节点</x:v>
      </x:c>
      <x:c r="L206" s="17" t="str">
        <x:v>是（V1.13完整迁移）</x:v>
      </x:c>
      <x:c r="M206" s="17" t="str">
        <x:v>PASS</x:v>
      </x:c>
    </x:row>
    <x:row r="207" ht="62" customHeight="1">
      <x:c r="A207" s="17" t="str">
        <x:v>CV-047</x:v>
      </x:c>
      <x:c r="B207" s="17" t="str">
        <x:v>头脑风暴</x:v>
      </x:c>
      <x:c r="C207" s="17" t="str">
        <x:v>节点结构与布局</x:v>
      </x:c>
      <x:c r="D207" s="17" t="str">
        <x:v>编辑</x:v>
      </x:c>
      <x:c r="E207" s="17" t="str">
        <x:v>节点可双击直接编辑，任何模式不能破坏</x:v>
      </x:c>
      <x:c r="F207" s="17" t="str">
        <x:v>节点可双击直接编辑，任何模式不能破坏</x:v>
      </x:c>
      <x:c r="G207" s="17" t="str">
        <x:v>dblclick进入编辑；Enter保存、Esc取消、Shift+Enter换行。</x:v>
      </x:c>
      <x:c r="H207" s="17" t="str">
        <x:v>✅ 已核验</x:v>
      </x:c>
      <x:c r="I207" s="17" t="str">
        <x:v>已有历史/自动验收证据；V2.0仍待用户逐项人工确认</x:v>
      </x:c>
      <x:c r="J207" s="17" t="str">
        <x:v>C-05</x:v>
      </x:c>
      <x:c r="K207" s="17" t="str">
        <x:v>【历史需求记录；非逐字聊天原文】节点可双击直接编辑，任何模式不能破坏</x:v>
      </x:c>
      <x:c r="L207" s="17" t="str">
        <x:v>是（V1.13完整迁移）</x:v>
      </x:c>
      <x:c r="M207" s="17" t="str">
        <x:v>PASS</x:v>
      </x:c>
    </x:row>
    <x:row r="208" ht="62" customHeight="1">
      <x:c r="A208" s="17" t="str">
        <x:v>CV-048</x:v>
      </x:c>
      <x:c r="B208" s="17" t="str">
        <x:v>头脑风暴</x:v>
      </x:c>
      <x:c r="C208" s="17" t="str">
        <x:v>节点结构与布局</x:v>
      </x:c>
      <x:c r="D208" s="17" t="str">
        <x:v>自由图框</x:v>
      </x:c>
      <x:c r="E208" s="17" t="str">
        <x:v>先选当前节点，再定义自由图框与当前节点的关系</x:v>
      </x:c>
      <x:c r="F208" s="17" t="str">
        <x:v>先选当前节点，再定义自由图框与当前节点的关系</x:v>
      </x:c>
      <x:c r="G208" s="17" t="str">
        <x:v>创建时选择独立/子级/兄弟/父级。</x:v>
      </x:c>
      <x:c r="H208" s="17" t="str">
        <x:v>✅ 已核验</x:v>
      </x:c>
      <x:c r="I208" s="17" t="str">
        <x:v>已有历史/自动验收证据；V2.0仍待用户逐项人工确认</x:v>
      </x:c>
      <x:c r="J208" s="17" t="str">
        <x:v>C-24</x:v>
      </x:c>
      <x:c r="K208" s="17" t="str">
        <x:v>【历史需求记录；非逐字聊天原文】先选当前节点，再定义自由图框与当前节点的关系</x:v>
      </x:c>
      <x:c r="L208" s="17" t="str">
        <x:v>是（V1.13完整迁移）</x:v>
      </x:c>
      <x:c r="M208" s="17" t="str">
        <x:v>PASS</x:v>
      </x:c>
    </x:row>
    <x:row r="209" ht="62" customHeight="1">
      <x:c r="A209" s="17" t="str">
        <x:v>CV-049</x:v>
      </x:c>
      <x:c r="B209" s="17" t="str">
        <x:v>头脑风暴</x:v>
      </x:c>
      <x:c r="C209" s="17" t="str">
        <x:v>节点结构与布局</x:v>
      </x:c>
      <x:c r="D209" s="17" t="str">
        <x:v>自由图框</x:v>
      </x:c>
      <x:c r="E209" s="17" t="str">
        <x:v>结构关系与显示位置分开</x:v>
      </x:c>
      <x:c r="F209" s="17" t="str">
        <x:v>结构关系与显示位置分开</x:v>
      </x:c>
      <x:c r="G209" s="17" t="str">
        <x:v>parentId与x/y/fixed分别保存。</x:v>
      </x:c>
      <x:c r="H209" s="17" t="str">
        <x:v>✅ 已核验</x:v>
      </x:c>
      <x:c r="I209" s="17" t="str">
        <x:v>已有历史/自动验收证据；V2.0仍待用户逐项人工确认</x:v>
      </x:c>
      <x:c r="J209" s="17" t="str">
        <x:v>C-25</x:v>
      </x:c>
      <x:c r="K209" s="17" t="str">
        <x:v>【历史需求记录；非逐字聊天原文】结构关系与显示位置分开</x:v>
      </x:c>
      <x:c r="L209" s="17" t="str">
        <x:v>是（V1.13完整迁移）</x:v>
      </x:c>
      <x:c r="M209" s="17" t="str">
        <x:v>PASS</x:v>
      </x:c>
    </x:row>
    <x:row r="210" ht="62" customHeight="1">
      <x:c r="A210" s="17" t="str">
        <x:v>CV-050</x:v>
      </x:c>
      <x:c r="B210" s="17" t="str">
        <x:v>头脑风暴</x:v>
      </x:c>
      <x:c r="C210" s="17" t="str">
        <x:v>节点结构与布局</x:v>
      </x:c>
      <x:c r="D210" s="17" t="str">
        <x:v>自由图框</x:v>
      </x:c>
      <x:c r="E210" s="17" t="str">
        <x:v>自由节点以后新建子级必须继续继承它作为父级</x:v>
      </x:c>
      <x:c r="F210" s="17" t="str">
        <x:v>自由节点以后新建子级必须继续继承它作为父级</x:v>
      </x:c>
      <x:c r="G210" s="17" t="str">
        <x:v>所有结构操作读取真实parentId，不按位置推断。</x:v>
      </x:c>
      <x:c r="H210" s="17" t="str">
        <x:v>✅ 已核验</x:v>
      </x:c>
      <x:c r="I210" s="17" t="str">
        <x:v>已有历史/自动验收证据；V2.0仍待用户逐项人工确认</x:v>
      </x:c>
      <x:c r="J210" s="17" t="str">
        <x:v>C-27</x:v>
      </x:c>
      <x:c r="K210" s="17" t="str">
        <x:v>【历史需求记录；非逐字聊天原文】自由节点以后新建子级必须继续继承它作为父级</x:v>
      </x:c>
      <x:c r="L210" s="17" t="str">
        <x:v>是（V1.13完整迁移）</x:v>
      </x:c>
      <x:c r="M210" s="17" t="str">
        <x:v>PASS</x:v>
      </x:c>
    </x:row>
    <x:row r="211" ht="62" customHeight="1">
      <x:c r="A211" s="17" t="str">
        <x:v>CV-051</x:v>
      </x:c>
      <x:c r="B211" s="17" t="str">
        <x:v>头脑风暴</x:v>
      </x:c>
      <x:c r="C211" s="17" t="str">
        <x:v>节点结构与布局</x:v>
      </x:c>
      <x:c r="D211" s="17" t="str">
        <x:v>自由图框</x:v>
      </x:c>
      <x:c r="E211" s="17" t="str">
        <x:v>自由节点可固定位置，自动布局不移动</x:v>
      </x:c>
      <x:c r="F211" s="17" t="str">
        <x:v>自由节点可固定位置，自动布局不移动</x:v>
      </x:c>
      <x:c r="G211" s="17" t="str">
        <x:v>fixed节点autoLayout跳过坐标。</x:v>
      </x:c>
      <x:c r="H211" s="17" t="str">
        <x:v>✅ 已核验</x:v>
      </x:c>
      <x:c r="I211" s="17" t="str">
        <x:v>已有历史/自动验收证据；V2.0仍待用户逐项人工确认</x:v>
      </x:c>
      <x:c r="J211" s="17" t="str">
        <x:v>C-26</x:v>
      </x:c>
      <x:c r="K211" s="17" t="str">
        <x:v>【历史需求记录；非逐字聊天原文】自由节点可固定位置，自动布局不移动</x:v>
      </x:c>
      <x:c r="L211" s="17" t="str">
        <x:v>是（V1.13完整迁移）</x:v>
      </x:c>
      <x:c r="M211" s="17" t="str">
        <x:v>PASS</x:v>
      </x:c>
    </x:row>
    <x:row r="212" ht="62" customHeight="1">
      <x:c r="A212" s="17" t="str">
        <x:v>CV-052</x:v>
      </x:c>
      <x:c r="B212" s="17" t="str">
        <x:v>头脑风暴</x:v>
      </x:c>
      <x:c r="C212" s="17" t="str">
        <x:v>连接线与可视化</x:v>
      </x:c>
      <x:c r="D212" s="17" t="str">
        <x:v>GIS选择</x:v>
      </x:c>
      <x:c r="E212" s="17" t="str">
        <x:v>指针/单选线/多选线/框选线/套索选线</x:v>
      </x:c>
      <x:c r="F212" s="17" t="str">
        <x:v>指针/单选线/多选线/框选线/套索选线</x:v>
      </x:c>
      <x:c r="G212" s="17" t="str">
        <x:v>统一selectMode并命中SVG路径。</x:v>
      </x:c>
      <x:c r="H212" s="17" t="str">
        <x:v>✅ 已核验</x:v>
      </x:c>
      <x:c r="I212" s="17" t="str">
        <x:v>已有历史/自动验收证据；V2.0仍待用户逐项人工确认</x:v>
      </x:c>
      <x:c r="J212" s="17" t="str">
        <x:v>C-41</x:v>
      </x:c>
      <x:c r="K212" s="17" t="str">
        <x:v>【历史需求记录；非逐字聊天原文】指针/单选线/多选线/框选线/套索选线</x:v>
      </x:c>
      <x:c r="L212" s="17" t="str">
        <x:v>是（V1.13完整迁移）</x:v>
      </x:c>
      <x:c r="M212" s="17" t="str">
        <x:v>PASS</x:v>
      </x:c>
    </x:row>
    <x:row r="213" ht="62" customHeight="1">
      <x:c r="A213" s="17" t="str">
        <x:v>CV-053</x:v>
      </x:c>
      <x:c r="B213" s="17" t="str">
        <x:v>头脑风暴</x:v>
      </x:c>
      <x:c r="C213" s="17" t="str">
        <x:v>连接线与可视化</x:v>
      </x:c>
      <x:c r="D213" s="17" t="str">
        <x:v>GIS选择</x:v>
      </x:c>
      <x:c r="E213" s="17" t="str">
        <x:v>框选/套索时要看到选择范围</x:v>
      </x:c>
      <x:c r="F213" s="17" t="str">
        <x:v>框选/套索时要看到选择范围</x:v>
      </x:c>
      <x:c r="G213" s="17" t="str">
        <x:v>框选虚线矩形，套索闭合轨迹。</x:v>
      </x:c>
      <x:c r="H213" s="17" t="str">
        <x:v>✅ 已核验</x:v>
      </x:c>
      <x:c r="I213" s="17" t="str">
        <x:v>已有历史/自动验收证据；V2.0仍待用户逐项人工确认</x:v>
      </x:c>
      <x:c r="J213" s="17" t="str">
        <x:v>C-42</x:v>
      </x:c>
      <x:c r="K213" s="17" t="str">
        <x:v>【历史需求记录；非逐字聊天原文】框选/套索时要看到选择范围</x:v>
      </x:c>
      <x:c r="L213" s="17" t="str">
        <x:v>是（V1.13完整迁移）</x:v>
      </x:c>
      <x:c r="M213" s="17" t="str">
        <x:v>PASS</x:v>
      </x:c>
    </x:row>
    <x:row r="214" ht="62" customHeight="1">
      <x:c r="A214" s="17" t="str">
        <x:v>CV-054</x:v>
      </x:c>
      <x:c r="B214" s="17" t="str">
        <x:v>头脑风暴</x:v>
      </x:c>
      <x:c r="C214" s="17" t="str">
        <x:v>连接线与可视化</x:v>
      </x:c>
      <x:c r="D214" s="17" t="str">
        <x:v>Visio式</x:v>
      </x:c>
      <x:c r="E214" s="17" t="str">
        <x:v>用户可修改连接线起点节点/终点节点</x:v>
      </x:c>
      <x:c r="F214" s="17" t="str">
        <x:v>用户可修改连接线起点节点/终点节点</x:v>
      </x:c>
      <x:c r="G214" s="17" t="str">
        <x:v>线设置可修改source/target；结构线同步父子关系。</x:v>
      </x:c>
      <x:c r="H214" s="17" t="str">
        <x:v>✅ 已核验</x:v>
      </x:c>
      <x:c r="I214" s="17" t="str">
        <x:v>已有历史/自动验收证据；V2.0仍待用户逐项人工确认</x:v>
      </x:c>
      <x:c r="J214" s="17" t="str">
        <x:v>C-38</x:v>
      </x:c>
      <x:c r="K214" s="17" t="str">
        <x:v>【历史需求记录；非逐字聊天原文】用户可修改连接线起点节点/终点节点</x:v>
      </x:c>
      <x:c r="L214" s="17" t="str">
        <x:v>是（V1.13完整迁移）</x:v>
      </x:c>
      <x:c r="M214" s="17" t="str">
        <x:v>PASS</x:v>
      </x:c>
    </x:row>
    <x:row r="215" ht="62" customHeight="1">
      <x:c r="A215" s="17" t="str">
        <x:v>CV-055</x:v>
      </x:c>
      <x:c r="B215" s="17" t="str">
        <x:v>头脑风暴</x:v>
      </x:c>
      <x:c r="C215" s="17" t="str">
        <x:v>连接线与可视化</x:v>
      </x:c>
      <x:c r="D215" s="17" t="str">
        <x:v>Visio式</x:v>
      </x:c>
      <x:c r="E215" s="17" t="str">
        <x:v>选中线显示端点，可拖动起止点</x:v>
      </x:c>
      <x:c r="F215" s="17" t="str">
        <x:v>选中线显示端点，可拖动起止点</x:v>
      </x:c>
      <x:c r="G215" s="17" t="str">
        <x:v>endpoint handle拖到节点边缘重新绑定。</x:v>
      </x:c>
      <x:c r="H215" s="17" t="str">
        <x:v>✅ 已核验</x:v>
      </x:c>
      <x:c r="I215" s="17" t="str">
        <x:v>已有历史/自动验收证据；V2.0仍待用户逐项人工确认</x:v>
      </x:c>
      <x:c r="J215" s="17" t="str">
        <x:v>C-39</x:v>
      </x:c>
      <x:c r="K215" s="17" t="str">
        <x:v>【历史需求记录；非逐字聊天原文】选中线显示端点，可拖动起止点</x:v>
      </x:c>
      <x:c r="L215" s="17" t="str">
        <x:v>是（V1.13完整迁移）</x:v>
      </x:c>
      <x:c r="M215" s="17" t="str">
        <x:v>PASS</x:v>
      </x:c>
    </x:row>
    <x:row r="216" ht="62" customHeight="1">
      <x:c r="A216" s="17" t="str">
        <x:v>CV-056</x:v>
      </x:c>
      <x:c r="B216" s="17" t="str">
        <x:v>头脑风暴</x:v>
      </x:c>
      <x:c r="C216" s="17" t="str">
        <x:v>连接线与可视化</x:v>
      </x:c>
      <x:c r="D216" s="17" t="str">
        <x:v>单位</x:v>
      </x:c>
      <x:c r="E216" s="17" t="str">
        <x:v>单位自定义，并支持正常/上标/下标/隐藏</x:v>
      </x:c>
      <x:c r="F216" s="17" t="str">
        <x:v>单位自定义，并支持正常/上标/下标/隐藏</x:v>
      </x:c>
      <x:c r="G216" s="17" t="str">
        <x:v>unit+unitMode，默认隐藏。</x:v>
      </x:c>
      <x:c r="H216" s="17" t="str">
        <x:v>✅ 已核验</x:v>
      </x:c>
      <x:c r="I216" s="17" t="str">
        <x:v>已有历史/自动验收证据；V2.0仍待用户逐项人工确认</x:v>
      </x:c>
      <x:c r="J216" s="17" t="str">
        <x:v>C-45</x:v>
      </x:c>
      <x:c r="K216" s="17" t="str">
        <x:v>【历史需求记录；非逐字聊天原文】单位自定义，并支持正常/上标/下标/隐藏</x:v>
      </x:c>
      <x:c r="L216" s="17" t="str">
        <x:v>是（V1.13完整迁移）</x:v>
      </x:c>
      <x:c r="M216" s="17" t="str">
        <x:v>PASS</x:v>
      </x:c>
    </x:row>
    <x:row r="217" ht="62" customHeight="1">
      <x:c r="A217" s="17" t="str">
        <x:v>CV-057</x:v>
      </x:c>
      <x:c r="B217" s="17" t="str">
        <x:v>头脑风暴</x:v>
      </x:c>
      <x:c r="C217" s="17" t="str">
        <x:v>连接线与可视化</x:v>
      </x:c>
      <x:c r="D217" s="17" t="str">
        <x:v>标签</x:v>
      </x:c>
      <x:c r="E217" s="17" t="str">
        <x:v>分流数字优先放靠近目标节点的最后一段横线</x:v>
      </x:c>
      <x:c r="F217" s="17" t="str">
        <x:v>分流数字优先放靠近目标节点的最后一段横线</x:v>
      </x:c>
      <x:c r="G217" s="17" t="str">
        <x:v>LR orthogonal优先目标前最后横段。</x:v>
      </x:c>
      <x:c r="H217" s="17" t="str">
        <x:v>✅ 已核验</x:v>
      </x:c>
      <x:c r="I217" s="17" t="str">
        <x:v>已有历史/自动验收证据；V2.0仍待用户逐项人工确认</x:v>
      </x:c>
      <x:c r="J217" s="17" t="str">
        <x:v>C-49</x:v>
      </x:c>
      <x:c r="K217" s="17" t="str">
        <x:v>【历史需求记录；非逐字聊天原文】分流数字优先放靠近目标节点的最后一段横线</x:v>
      </x:c>
      <x:c r="L217" s="17" t="str">
        <x:v>是（V1.13完整迁移）</x:v>
      </x:c>
      <x:c r="M217" s="17" t="str">
        <x:v>PASS</x:v>
      </x:c>
    </x:row>
    <x:row r="218" ht="62" customHeight="1">
      <x:c r="A218" s="17" t="str">
        <x:v>CV-058</x:v>
      </x:c>
      <x:c r="B218" s="17" t="str">
        <x:v>头脑风暴</x:v>
      </x:c>
      <x:c r="C218" s="17" t="str">
        <x:v>连接线与可视化</x:v>
      </x:c>
      <x:c r="D218" s="17" t="str">
        <x:v>标签</x:v>
      </x:c>
      <x:c r="E218" s="17" t="str">
        <x:v>数字位置上/中/下、字号可调整</x:v>
      </x:c>
      <x:c r="F218" s="17" t="str">
        <x:v>数字位置上/中/下、字号可调整</x:v>
      </x:c>
      <x:c r="G218" s="17" t="str">
        <x:v>labelPos+fontSize。</x:v>
      </x:c>
      <x:c r="H218" s="17" t="str">
        <x:v>✅ 已核验</x:v>
      </x:c>
      <x:c r="I218" s="17" t="str">
        <x:v>已有历史/自动验收证据；V2.0仍待用户逐项人工确认</x:v>
      </x:c>
      <x:c r="J218" s="17" t="str">
        <x:v>C-46</x:v>
      </x:c>
      <x:c r="K218" s="17" t="str">
        <x:v>【历史需求记录；非逐字聊天原文】数字位置上/中/下、字号可调整</x:v>
      </x:c>
      <x:c r="L218" s="17" t="str">
        <x:v>是（V1.13完整迁移）</x:v>
      </x:c>
      <x:c r="M218" s="17" t="str">
        <x:v>PASS</x:v>
      </x:c>
    </x:row>
    <x:row r="219" ht="62" customHeight="1">
      <x:c r="A219" s="17" t="str">
        <x:v>CV-059</x:v>
      </x:c>
      <x:c r="B219" s="17" t="str">
        <x:v>头脑风暴</x:v>
      </x:c>
      <x:c r="C219" s="17" t="str">
        <x:v>连接线与可视化</x:v>
      </x:c>
      <x:c r="D219" s="17" t="str">
        <x:v>标签</x:v>
      </x:c>
      <x:c r="E219" s="17" t="str">
        <x:v>数字绝不放公共竖母线上，只放本支路水平段</x:v>
      </x:c>
      <x:c r="F219" s="17" t="str">
        <x:v>数字绝不放公共竖母线上，只放本支路水平段</x:v>
      </x:c>
      <x:c r="G219" s="17" t="str">
        <x:v>labelAnchor只选择水平segment。</x:v>
      </x:c>
      <x:c r="H219" s="17" t="str">
        <x:v>✅ 已核验</x:v>
      </x:c>
      <x:c r="I219" s="17" t="str">
        <x:v>已有历史/自动验收证据；V2.0仍待用户逐项人工确认</x:v>
      </x:c>
      <x:c r="J219" s="17" t="str">
        <x:v>C-48</x:v>
      </x:c>
      <x:c r="K219" s="17" t="str">
        <x:v>【历史需求记录；非逐字聊天原文】数字绝不放公共竖母线上，只放本支路水平段</x:v>
      </x:c>
      <x:c r="L219" s="17" t="str">
        <x:v>是（V1.13完整迁移）</x:v>
      </x:c>
      <x:c r="M219" s="17" t="str">
        <x:v>PASS</x:v>
      </x:c>
    </x:row>
    <x:row r="220" ht="62" customHeight="1">
      <x:c r="A220" s="17" t="str">
        <x:v>CV-060</x:v>
      </x:c>
      <x:c r="B220" s="17" t="str">
        <x:v>头脑风暴</x:v>
      </x:c>
      <x:c r="C220" s="17" t="str">
        <x:v>连接线与可视化</x:v>
      </x:c>
      <x:c r="D220" s="17" t="str">
        <x:v>标签</x:v>
      </x:c>
      <x:c r="E220" s="17" t="str">
        <x:v>没有有效水平段时宁可不显示数字，也不能放竖线</x:v>
      </x:c>
      <x:c r="F220" s="17" t="str">
        <x:v>没有有效水平段时宁可不显示数字，也不能放竖线</x:v>
      </x:c>
      <x:c r="G220" s="17" t="str">
        <x:v>无水平segment时labelPoint=null不渲染。</x:v>
      </x:c>
      <x:c r="H220" s="17" t="str">
        <x:v>✅ 已核验</x:v>
      </x:c>
      <x:c r="I220" s="17" t="str">
        <x:v>已有历史/自动验收证据；V2.0仍待用户逐项人工确认</x:v>
      </x:c>
      <x:c r="J220" s="17" t="str">
        <x:v>C-50</x:v>
      </x:c>
      <x:c r="K220" s="17" t="str">
        <x:v>【历史需求记录；非逐字聊天原文】没有有效水平段时宁可不显示数字，也不能放竖线</x:v>
      </x:c>
      <x:c r="L220" s="17" t="str">
        <x:v>是（V1.13完整迁移）</x:v>
      </x:c>
      <x:c r="M220" s="17" t="str">
        <x:v>PASS</x:v>
      </x:c>
    </x:row>
    <x:row r="221" ht="62" customHeight="1">
      <x:c r="A221" s="17" t="str">
        <x:v>CV-061</x:v>
      </x:c>
      <x:c r="B221" s="17" t="str">
        <x:v>头脑风暴</x:v>
      </x:c>
      <x:c r="C221" s="17" t="str">
        <x:v>连接线与可视化</x:v>
      </x:c>
      <x:c r="D221" s="17" t="str">
        <x:v>标签</x:v>
      </x:c>
      <x:c r="E221" s="17" t="str">
        <x:v>默认不显示线名称和单位，避免图面过乱</x:v>
      </x:c>
      <x:c r="F221" s="17" t="str">
        <x:v>默认不显示线名称和单位，避免图面过乱</x:v>
      </x:c>
      <x:c r="G221" s="17" t="str">
        <x:v>默认showLabel=false、unit隐藏，只显示数量。</x:v>
      </x:c>
      <x:c r="H221" s="17" t="str">
        <x:v>✅ 已核验</x:v>
      </x:c>
      <x:c r="I221" s="17" t="str">
        <x:v>已有历史/自动验收证据；V2.0仍待用户逐项人工确认</x:v>
      </x:c>
      <x:c r="J221" s="17" t="str">
        <x:v>C-47</x:v>
      </x:c>
      <x:c r="K221" s="17" t="str">
        <x:v>【历史需求记录；非逐字聊天原文】默认不显示线名称和单位，避免图面过乱</x:v>
      </x:c>
      <x:c r="L221" s="17" t="str">
        <x:v>是（V1.13完整迁移）</x:v>
      </x:c>
      <x:c r="M221" s="17" t="str">
        <x:v>PASS</x:v>
      </x:c>
    </x:row>
    <x:row r="222" ht="62" customHeight="1">
      <x:c r="A222" s="17" t="str">
        <x:v>CV-062</x:v>
      </x:c>
      <x:c r="B222" s="17" t="str">
        <x:v>头脑风暴</x:v>
      </x:c>
      <x:c r="C222" s="17" t="str">
        <x:v>连接线与可视化</x:v>
      </x:c>
      <x:c r="D222" s="17" t="str">
        <x:v>母线</x:v>
      </x:c>
      <x:c r="E222" s="17" t="str">
        <x:v>一个父级多子级形成视觉共用母线</x:v>
      </x:c>
      <x:c r="F222" s="17" t="str">
        <x:v>一个父级多子级形成视觉共用母线</x:v>
      </x:c>
      <x:c r="G222" s="17" t="str">
        <x:v>一致直角路由形成共享竖向干线。</x:v>
      </x:c>
      <x:c r="H222" s="17" t="str">
        <x:v>✅ 已核验</x:v>
      </x:c>
      <x:c r="I222" s="17" t="str">
        <x:v>已有历史/自动验收证据；V2.0仍待用户逐项人工确认</x:v>
      </x:c>
      <x:c r="J222" s="17" t="str">
        <x:v>C-52</x:v>
      </x:c>
      <x:c r="K222" s="17" t="str">
        <x:v>【历史需求记录；非逐字聊天原文】一个父级多子级形成视觉共用母线</x:v>
      </x:c>
      <x:c r="L222" s="17" t="str">
        <x:v>是（V1.13完整迁移）</x:v>
      </x:c>
      <x:c r="M222" s="17" t="str">
        <x:v>PASS</x:v>
      </x:c>
    </x:row>
    <x:row r="223" ht="62" customHeight="1">
      <x:c r="A223" s="17" t="str">
        <x:v>CV-063</x:v>
      </x:c>
      <x:c r="B223" s="17" t="str">
        <x:v>头脑风暴</x:v>
      </x:c>
      <x:c r="C223" s="17" t="str">
        <x:v>连接线与可视化</x:v>
      </x:c>
      <x:c r="D223" s="17" t="str">
        <x:v>母线</x:v>
      </x:c>
      <x:c r="E223" s="17" t="str">
        <x:v>共用母线像Visio一样直接整体鼠标拖动</x:v>
      </x:c>
      <x:c r="F223" s="17" t="str">
        <x:v>共用母线像Visio一样直接整体鼠标拖动</x:v>
      </x:c>
      <x:c r="G223" s="17" t="str">
        <x:v>当前可多选线统一routeOffset，尚未做独立母线对象直接拖动。</x:v>
      </x:c>
      <x:c r="H223" s="17" t="str">
        <x:v>◐ 部分完成</x:v>
      </x:c>
      <x:c r="I223" s="17" t="str">
        <x:v>当前仅部分实现：仍存在明确技术欠账；V2.0完整迁移V1.13并不等于该欠账已消除</x:v>
      </x:c>
      <x:c r="J223" s="17" t="str">
        <x:v>C-53</x:v>
      </x:c>
      <x:c r="K223" s="17" t="str">
        <x:v>【历史需求记录；非逐字聊天原文】共用母线像Visio一样直接整体鼠标拖动</x:v>
      </x:c>
      <x:c r="L223" s="17" t="str">
        <x:v>部分</x:v>
      </x:c>
      <x:c r="M223" s="17" t="str">
        <x:v>PARTIAL</x:v>
      </x:c>
    </x:row>
    <x:row r="224" ht="62" customHeight="1">
      <x:c r="A224" s="17" t="str">
        <x:v>CV-064</x:v>
      </x:c>
      <x:c r="B224" s="17" t="str">
        <x:v>头脑风暴</x:v>
      </x:c>
      <x:c r="C224" s="17" t="str">
        <x:v>连接线与可视化</x:v>
      </x:c>
      <x:c r="D224" s="17" t="str">
        <x:v>自主画线</x:v>
      </x:c>
      <x:c r="E224" s="17" t="str">
        <x:v>用户可自主画连接线</x:v>
      </x:c>
      <x:c r="F224" s="17" t="str">
        <x:v>用户可自主画连接线</x:v>
      </x:c>
      <x:c r="G224" s="17" t="str">
        <x:v>画线模式先起点后终点建立非结构线。</x:v>
      </x:c>
      <x:c r="H224" s="17" t="str">
        <x:v>✅ 已核验</x:v>
      </x:c>
      <x:c r="I224" s="17" t="str">
        <x:v>已有历史/自动验收证据；V2.0仍待用户逐项人工确认</x:v>
      </x:c>
      <x:c r="J224" s="17" t="str">
        <x:v>C-40</x:v>
      </x:c>
      <x:c r="K224" s="17" t="str">
        <x:v>【历史需求记录；非逐字聊天原文】用户可自主画连接线</x:v>
      </x:c>
      <x:c r="L224" s="17" t="str">
        <x:v>是（V1.13完整迁移）</x:v>
      </x:c>
      <x:c r="M224" s="17" t="str">
        <x:v>PASS</x:v>
      </x:c>
    </x:row>
    <x:row r="225" ht="62" customHeight="1">
      <x:c r="A225" s="17" t="str">
        <x:v>CV-065</x:v>
      </x:c>
      <x:c r="B225" s="17" t="str">
        <x:v>头脑风暴</x:v>
      </x:c>
      <x:c r="C225" s="17" t="str">
        <x:v>连接线与可视化</x:v>
      </x:c>
      <x:c r="D225" s="17" t="str">
        <x:v>自动寻路</x:v>
      </x:c>
      <x:c r="E225" s="17" t="str">
        <x:v>自动避开节点、尽量减少线交叉</x:v>
      </x:c>
      <x:c r="F225" s="17" t="str">
        <x:v>自动避开节点、尽量减少线交叉</x:v>
      </x:c>
      <x:c r="G225" s="17" t="str">
        <x:v>树形布局可减少交叉，但未实现完整障碍物寻路。</x:v>
      </x:c>
      <x:c r="H225" s="17" t="str">
        <x:v>◐ 部分完成</x:v>
      </x:c>
      <x:c r="I225" s="17" t="str">
        <x:v>当前仅部分实现：仍存在明确技术欠账；V2.0完整迁移V1.13并不等于该欠账已消除</x:v>
      </x:c>
      <x:c r="J225" s="17" t="str">
        <x:v>C-54</x:v>
      </x:c>
      <x:c r="K225" s="17" t="str">
        <x:v>【历史需求记录；非逐字聊天原文】自动避开节点、尽量减少线交叉</x:v>
      </x:c>
      <x:c r="L225" s="17" t="str">
        <x:v>部分</x:v>
      </x:c>
      <x:c r="M225" s="17" t="str">
        <x:v>PARTIAL</x:v>
      </x:c>
    </x:row>
    <x:row r="226" ht="62" customHeight="1">
      <x:c r="A226" s="17" t="str">
        <x:v>CV-066</x:v>
      </x:c>
      <x:c r="B226" s="17" t="str">
        <x:v>头脑风暴</x:v>
      </x:c>
      <x:c r="C226" s="17" t="str">
        <x:v>连接线与可视化</x:v>
      </x:c>
      <x:c r="D226" s="17" t="str">
        <x:v>连接原则</x:v>
      </x:c>
      <x:c r="E226" s="17" t="str">
        <x:v>默认父级右侧出线 → 下一级左侧进线</x:v>
      </x:c>
      <x:c r="F226" s="17" t="str">
        <x:v>默认父级右侧出线 → 下一级左侧进线</x:v>
      </x:c>
      <x:c r="G226" s="17" t="str">
        <x:v>LR结构线默认right→left；人工端口覆盖。</x:v>
      </x:c>
      <x:c r="H226" s="17" t="str">
        <x:v>✅ 已核验</x:v>
      </x:c>
      <x:c r="I226" s="17" t="str">
        <x:v>已有历史/自动验收证据；V2.0仍待用户逐项人工确认</x:v>
      </x:c>
      <x:c r="J226" s="17" t="str">
        <x:v>C-16</x:v>
      </x:c>
      <x:c r="K226" s="17" t="str">
        <x:v>【历史需求记录；非逐字聊天原文】默认父级右侧出线 → 下一级左侧进线</x:v>
      </x:c>
      <x:c r="L226" s="17" t="str">
        <x:v>是（V1.13完整迁移）</x:v>
      </x:c>
      <x:c r="M226" s="17" t="str">
        <x:v>PASS</x:v>
      </x:c>
    </x:row>
    <x:row r="227" ht="62" customHeight="1">
      <x:c r="A227" s="17" t="str">
        <x:v>CV-067</x:v>
      </x:c>
      <x:c r="B227" s="17" t="str">
        <x:v>头脑风暴</x:v>
      </x:c>
      <x:c r="C227" s="17" t="str">
        <x:v>连接线与可视化</x:v>
      </x:c>
      <x:c r="D227" s="17" t="str">
        <x:v>连接线</x:v>
      </x:c>
      <x:c r="E227" s="17" t="str">
        <x:v>人工修改连接线端口后不被自动布局重置</x:v>
      </x:c>
      <x:c r="F227" s="17" t="str">
        <x:v>人工修改连接线端口后不被自动布局重置</x:v>
      </x:c>
      <x:c r="G227" s="17" t="str">
        <x:v>portsManual=true优先人工端口。</x:v>
      </x:c>
      <x:c r="H227" s="17" t="str">
        <x:v>✅ 已核验</x:v>
      </x:c>
      <x:c r="I227" s="17" t="str">
        <x:v>已有历史/自动验收证据；V2.0仍待用户逐项人工确认</x:v>
      </x:c>
      <x:c r="J227" s="17" t="str">
        <x:v>C-37</x:v>
      </x:c>
      <x:c r="K227" s="17" t="str">
        <x:v>【历史需求记录；非逐字聊天原文】人工修改连接线端口后不被自动布局重置</x:v>
      </x:c>
      <x:c r="L227" s="17" t="str">
        <x:v>是（V1.13完整迁移）</x:v>
      </x:c>
      <x:c r="M227" s="17" t="str">
        <x:v>PASS</x:v>
      </x:c>
    </x:row>
    <x:row r="228" ht="62" customHeight="1">
      <x:c r="A228" s="17" t="str">
        <x:v>CV-068</x:v>
      </x:c>
      <x:c r="B228" s="17" t="str">
        <x:v>头脑风暴</x:v>
      </x:c>
      <x:c r="C228" s="17" t="str">
        <x:v>连接线与可视化</x:v>
      </x:c>
      <x:c r="D228" s="17" t="str">
        <x:v>连接线</x:v>
      </x:c>
      <x:c r="E228" s="17" t="str">
        <x:v>支持直线/直角线/思维导图曲线</x:v>
      </x:c>
      <x:c r="F228" s="17" t="str">
        <x:v>支持直线/直角线/思维导图曲线</x:v>
      </x:c>
      <x:c r="G228" s="17" t="str">
        <x:v>route=straight/orthogonal/curve。</x:v>
      </x:c>
      <x:c r="H228" s="17" t="str">
        <x:v>✅ 已核验</x:v>
      </x:c>
      <x:c r="I228" s="17" t="str">
        <x:v>已有历史/自动验收证据；V2.0仍待用户逐项人工确认</x:v>
      </x:c>
      <x:c r="J228" s="17" t="str">
        <x:v>C-35</x:v>
      </x:c>
      <x:c r="K228" s="17" t="str">
        <x:v>【历史需求记录；非逐字聊天原文】支持直线/直角线/思维导图曲线</x:v>
      </x:c>
      <x:c r="L228" s="17" t="str">
        <x:v>是（V1.13完整迁移）</x:v>
      </x:c>
      <x:c r="M228" s="17" t="str">
        <x:v>PASS</x:v>
      </x:c>
    </x:row>
    <x:row r="229" ht="62" customHeight="1">
      <x:c r="A229" s="17" t="str">
        <x:v>CV-069</x:v>
      </x:c>
      <x:c r="B229" s="17" t="str">
        <x:v>头脑风暴</x:v>
      </x:c>
      <x:c r="C229" s="17" t="str">
        <x:v>连接线与可视化</x:v>
      </x:c>
      <x:c r="D229" s="17" t="str">
        <x:v>连接线</x:v>
      </x:c>
      <x:c r="E229" s="17" t="str">
        <x:v>直角线默认不产生大量拐点</x:v>
      </x:c>
      <x:c r="F229" s="17" t="str">
        <x:v>直角线默认不产生大量拐点</x:v>
      </x:c>
      <x:c r="G229" s="17" t="str">
        <x:v>标准直角路径仅主要转折。</x:v>
      </x:c>
      <x:c r="H229" s="17" t="str">
        <x:v>✅ 已核验</x:v>
      </x:c>
      <x:c r="I229" s="17" t="str">
        <x:v>已有历史/自动验收证据；V2.0仍待用户逐项人工确认</x:v>
      </x:c>
      <x:c r="J229" s="17" t="str">
        <x:v>C-36</x:v>
      </x:c>
      <x:c r="K229" s="17" t="str">
        <x:v>【历史需求记录；非逐字聊天原文】直角线默认不产生大量拐点</x:v>
      </x:c>
      <x:c r="L229" s="17" t="str">
        <x:v>是（V1.13完整迁移）</x:v>
      </x:c>
      <x:c r="M229" s="17" t="str">
        <x:v>PASS</x:v>
      </x:c>
    </x:row>
    <x:row r="230" ht="62" customHeight="1">
      <x:c r="A230" s="17" t="str">
        <x:v>CV-070</x:v>
      </x:c>
      <x:c r="B230" s="17" t="str">
        <x:v>头脑风暴</x:v>
      </x:c>
      <x:c r="C230" s="17" t="str">
        <x:v>连接线与可视化</x:v>
      </x:c>
      <x:c r="D230" s="17" t="str">
        <x:v>连接线属性</x:v>
      </x:c>
      <x:c r="E230" s="17" t="str">
        <x:v>线名称、数量、单位、百分比、计算方式</x:v>
      </x:c>
      <x:c r="F230" s="17" t="str">
        <x:v>线名称、数量、单位、百分比、计算方式</x:v>
      </x:c>
      <x:c r="G230" s="17" t="str">
        <x:v>edge保存label,quantity,unit,percentage,calcMode。</x:v>
      </x:c>
      <x:c r="H230" s="17" t="str">
        <x:v>✅ 已核验</x:v>
      </x:c>
      <x:c r="I230" s="17" t="str">
        <x:v>已有历史/自动验收证据；V2.0仍待用户逐项人工确认</x:v>
      </x:c>
      <x:c r="J230" s="17" t="str">
        <x:v>C-44</x:v>
      </x:c>
      <x:c r="K230" s="17" t="str">
        <x:v>【历史需求记录；非逐字聊天原文】线名称、数量、单位、百分比、计算方式</x:v>
      </x:c>
      <x:c r="L230" s="17" t="str">
        <x:v>是（V1.13完整迁移）</x:v>
      </x:c>
      <x:c r="M230" s="17" t="str">
        <x:v>PASS</x:v>
      </x:c>
    </x:row>
    <x:row r="231" ht="62" customHeight="1">
      <x:c r="A231" s="17" t="str">
        <x:v>CV-071</x:v>
      </x:c>
      <x:c r="B231" s="17" t="str">
        <x:v>头脑风暴</x:v>
      </x:c>
      <x:c r="C231" s="17" t="str">
        <x:v>连接线与可视化</x:v>
      </x:c>
      <x:c r="D231" s="17" t="str">
        <x:v>连接线布局</x:v>
      </x:c>
      <x:c r="E231" s="17" t="str">
        <x:v>适当增加横线距离便于显示数字</x:v>
      </x:c>
      <x:c r="F231" s="17" t="str">
        <x:v>适当增加横线距离便于显示数字</x:v>
      </x:c>
      <x:c r="G231" s="17" t="str">
        <x:v>提高LR层级间距并预留目标前横支线。</x:v>
      </x:c>
      <x:c r="H231" s="17" t="str">
        <x:v>✅ 已核验</x:v>
      </x:c>
      <x:c r="I231" s="17" t="str">
        <x:v>已有历史/自动验收证据；V2.0仍待用户逐项人工确认</x:v>
      </x:c>
      <x:c r="J231" s="17" t="str">
        <x:v>C-51</x:v>
      </x:c>
      <x:c r="K231" s="17" t="str">
        <x:v>【历史需求记录；非逐字聊天原文】适当增加横线距离便于显示数字</x:v>
      </x:c>
      <x:c r="L231" s="17" t="str">
        <x:v>是（V1.13完整迁移）</x:v>
      </x:c>
      <x:c r="M231" s="17" t="str">
        <x:v>PASS</x:v>
      </x:c>
    </x:row>
    <x:row r="232" ht="62" customHeight="1">
      <x:c r="A232" s="17" t="str">
        <x:v>CV-072</x:v>
      </x:c>
      <x:c r="B232" s="17" t="str">
        <x:v>头脑风暴</x:v>
      </x:c>
      <x:c r="C232" s="17" t="str">
        <x:v>连接线与可视化</x:v>
      </x:c>
      <x:c r="D232" s="17" t="str">
        <x:v>连接线样式</x:v>
      </x:c>
      <x:c r="E232" s="17" t="str">
        <x:v>选中线或全部线可改实线/虚线</x:v>
      </x:c>
      <x:c r="F232" s="17" t="str">
        <x:v>选中线或全部线可改实线/虚线</x:v>
      </x:c>
      <x:c r="G232" s="17" t="str">
        <x:v>selected/all批量应用style。</x:v>
      </x:c>
      <x:c r="H232" s="17" t="str">
        <x:v>✅ 已核验</x:v>
      </x:c>
      <x:c r="I232" s="17" t="str">
        <x:v>已有历史/自动验收证据；V2.0仍待用户逐项人工确认</x:v>
      </x:c>
      <x:c r="J232" s="17" t="str">
        <x:v>C-43</x:v>
      </x:c>
      <x:c r="K232" s="17" t="str">
        <x:v>【历史需求记录；非逐字聊天原文】选中线或全部线可改实线/虚线</x:v>
      </x:c>
      <x:c r="L232" s="17" t="str">
        <x:v>是（V1.13完整迁移）</x:v>
      </x:c>
      <x:c r="M232" s="17" t="str">
        <x:v>PASS</x:v>
      </x:c>
    </x:row>
    <x:row r="233" ht="62" customHeight="1">
      <x:c r="A233" s="17" t="str">
        <x:v>CV-073</x:v>
      </x:c>
      <x:c r="B233" s="17" t="str">
        <x:v>头脑风暴</x:v>
      </x:c>
      <x:c r="C233" s="17" t="str">
        <x:v>项目文件、导出与集成</x:v>
      </x:c>
      <x:c r="D233" s="17" t="str">
        <x:v>Excel</x:v>
      </x:c>
      <x:c r="E233" s="17" t="str">
        <x:v>Excel导入忽略空白单元格，并按最近有效上级恢复层级</x:v>
      </x:c>
      <x:c r="F233" s="17" t="str">
        <x:v>Excel导入忽略空白单元格，并按最近有效上级恢复层级</x:v>
      </x:c>
      <x:c r="G233" s="17" t="str">
        <x:v>跳过空白；last[]保存最近有效父级。</x:v>
      </x:c>
      <x:c r="H233" s="17" t="str">
        <x:v>✅ 已核验</x:v>
      </x:c>
      <x:c r="I233" s="17" t="str">
        <x:v>已有历史/自动验收证据；V2.0仍待用户逐项人工确认</x:v>
      </x:c>
      <x:c r="J233" s="17" t="str">
        <x:v>C-72</x:v>
      </x:c>
      <x:c r="K233" s="17" t="str">
        <x:v>【历史需求记录；非逐字聊天原文】Excel导入忽略空白单元格，并按最近有效上级恢复层级</x:v>
      </x:c>
      <x:c r="L233" s="17" t="str">
        <x:v>是（V1.13完整迁移）</x:v>
      </x:c>
      <x:c r="M233" s="17" t="str">
        <x:v>PASS</x:v>
      </x:c>
    </x:row>
    <x:row r="234" ht="62" customHeight="1">
      <x:c r="A234" s="17" t="str">
        <x:v>CV-074</x:v>
      </x:c>
      <x:c r="B234" s="17" t="str">
        <x:v>头脑风暴</x:v>
      </x:c>
      <x:c r="C234" s="17" t="str">
        <x:v>项目文件、导出与集成</x:v>
      </x:c>
      <x:c r="D234" s="17" t="str">
        <x:v>Excel</x:v>
      </x:c>
      <x:c r="E234" s="17" t="str">
        <x:v>Excel导出包含节点/连接线/配平检查</x:v>
      </x:c>
      <x:c r="F234" s="17" t="str">
        <x:v>Excel导出包含节点/连接线/配平检查</x:v>
      </x:c>
      <x:c r="G234" s="17" t="str">
        <x:v>工作簿3张表。</x:v>
      </x:c>
      <x:c r="H234" s="17" t="str">
        <x:v>✅ 已核验</x:v>
      </x:c>
      <x:c r="I234" s="17" t="str">
        <x:v>已有历史/自动验收证据；V2.0仍待用户逐项人工确认</x:v>
      </x:c>
      <x:c r="J234" s="17" t="str">
        <x:v>C-71</x:v>
      </x:c>
      <x:c r="K234" s="17" t="str">
        <x:v>【历史需求记录；非逐字聊天原文】Excel导出包含节点/连接线/配平检查</x:v>
      </x:c>
      <x:c r="L234" s="17" t="str">
        <x:v>是（V1.13完整迁移）</x:v>
      </x:c>
      <x:c r="M234" s="17" t="str">
        <x:v>PASS</x:v>
      </x:c>
    </x:row>
    <x:row r="235" ht="62" customHeight="1">
      <x:c r="A235" s="17" t="str">
        <x:v>CV-075</x:v>
      </x:c>
      <x:c r="B235" s="17" t="str">
        <x:v>头脑风暴</x:v>
      </x:c>
      <x:c r="C235" s="17" t="str">
        <x:v>项目文件、导出与集成</x:v>
      </x:c>
      <x:c r="D235" s="17" t="str">
        <x:v>Excel</x:v>
      </x:c>
      <x:c r="E235" s="17" t="str">
        <x:v>导入异常要提示</x:v>
      </x:c>
      <x:c r="F235" s="17" t="str">
        <x:v>导入异常要提示</x:v>
      </x:c>
      <x:c r="G235" s="17" t="str">
        <x:v>try/catch弹出导入失败。</x:v>
      </x:c>
      <x:c r="H235" s="17" t="str">
        <x:v>✅ 已核验</x:v>
      </x:c>
      <x:c r="I235" s="17" t="str">
        <x:v>已有历史/自动验收证据；V2.0仍待用户逐项人工确认</x:v>
      </x:c>
      <x:c r="J235" s="17" t="str">
        <x:v>C-73</x:v>
      </x:c>
      <x:c r="K235" s="17" t="str">
        <x:v>【历史需求记录；非逐字聊天原文】导入异常要提示</x:v>
      </x:c>
      <x:c r="L235" s="17" t="str">
        <x:v>是（V1.13完整迁移）</x:v>
      </x:c>
      <x:c r="M235" s="17" t="str">
        <x:v>PASS</x:v>
      </x:c>
    </x:row>
    <x:row r="236" ht="62" customHeight="1">
      <x:c r="A236" s="17" t="str">
        <x:v>CV-076</x:v>
      </x:c>
      <x:c r="B236" s="17" t="str">
        <x:v>头脑风暴</x:v>
      </x:c>
      <x:c r="C236" s="17" t="str">
        <x:v>项目文件、导出与集成</x:v>
      </x:c>
      <x:c r="D236" s="17" t="str">
        <x:v>Visio</x:v>
      </x:c>
      <x:c r="E236" s="17" t="str">
        <x:v>希望原生Visio格式，可有较大难度时不增加</x:v>
      </x:c>
      <x:c r="F236" s="17" t="str">
        <x:v>希望原生Visio格式，可有较大难度时不增加</x:v>
      </x:c>
      <x:c r="G236" s="17" t="str">
        <x:v>不伪造VSDX；提供SVG给Visio导入。</x:v>
      </x:c>
      <x:c r="H236" s="17" t="str">
        <x:v>⏸ 允许暂缓</x:v>
      </x:c>
      <x:c r="I236" s="17" t="str">
        <x:v>用户已允许暂缓，不伪造原生VSDX；SVG作为替代</x:v>
      </x:c>
      <x:c r="J236" s="17" t="str">
        <x:v>C-75</x:v>
      </x:c>
      <x:c r="K236" s="17" t="str">
        <x:v>【历史需求记录；非逐字聊天原文】希望原生Visio格式，可有较大难度时不增加</x:v>
      </x:c>
      <x:c r="L236" s="17" t="str">
        <x:v>否/暂缓</x:v>
      </x:c>
      <x:c r="M236" s="17" t="str">
        <x:v>DEFERRED</x:v>
      </x:c>
    </x:row>
    <x:row r="237" ht="62" customHeight="1">
      <x:c r="A237" s="17" t="str">
        <x:v>CV-077</x:v>
      </x:c>
      <x:c r="B237" s="17" t="str">
        <x:v>头脑风暴</x:v>
      </x:c>
      <x:c r="C237" s="17" t="str">
        <x:v>项目文件、导出与集成</x:v>
      </x:c>
      <x:c r="D237" s="17" t="str">
        <x:v>保存</x:v>
      </x:c>
      <x:c r="E237" s="17" t="str">
        <x:v>浏览器自动保存</x:v>
      </x:c>
      <x:c r="F237" s="17" t="str">
        <x:v>浏览器自动保存</x:v>
      </x:c>
      <x:c r="G237" s="17" t="str">
        <x:v>save写localStorage并兼容旧版本键。</x:v>
      </x:c>
      <x:c r="H237" s="17" t="str">
        <x:v>✅ 已核验</x:v>
      </x:c>
      <x:c r="I237" s="17" t="str">
        <x:v>已有历史/自动验收证据；V2.0仍待用户逐项人工确认</x:v>
      </x:c>
      <x:c r="J237" s="17" t="str">
        <x:v>C-69</x:v>
      </x:c>
      <x:c r="K237" s="17" t="str">
        <x:v>【历史需求记录；非逐字聊天原文】浏览器自动保存</x:v>
      </x:c>
      <x:c r="L237" s="17" t="str">
        <x:v>是（V1.13完整迁移）</x:v>
      </x:c>
      <x:c r="M237" s="17" t="str">
        <x:v>PASS</x:v>
      </x:c>
    </x:row>
    <x:row r="238" ht="62" customHeight="1">
      <x:c r="A238" s="17" t="str">
        <x:v>CV-078</x:v>
      </x:c>
      <x:c r="B238" s="17" t="str">
        <x:v>头脑风暴</x:v>
      </x:c>
      <x:c r="C238" s="17" t="str">
        <x:v>项目文件、导出与集成</x:v>
      </x:c>
      <x:c r="D238" s="17" t="str">
        <x:v>历史</x:v>
      </x:c>
      <x:c r="E238" s="17" t="str">
        <x:v>最近100步撤销历史</x:v>
      </x:c>
      <x:c r="F238" s="17" t="str">
        <x:v>最近100步撤销历史</x:v>
      </x:c>
      <x:c r="G238" s="17" t="str">
        <x:v>history最多100个snapshot。</x:v>
      </x:c>
      <x:c r="H238" s="17" t="str">
        <x:v>✅ 已核验</x:v>
      </x:c>
      <x:c r="I238" s="17" t="str">
        <x:v>已有历史/自动验收证据；V2.0仍待用户逐项人工确认</x:v>
      </x:c>
      <x:c r="J238" s="17" t="str">
        <x:v>C-70</x:v>
      </x:c>
      <x:c r="K238" s="17" t="str">
        <x:v>【历史需求记录；非逐字聊天原文】最近100步撤销历史</x:v>
      </x:c>
      <x:c r="L238" s="17" t="str">
        <x:v>是（V1.13完整迁移）</x:v>
      </x:c>
      <x:c r="M238" s="17" t="str">
        <x:v>PASS</x:v>
      </x:c>
    </x:row>
    <x:row r="239" ht="62" customHeight="1">
      <x:c r="A239" s="17" t="str">
        <x:v>CV-079</x:v>
      </x:c>
      <x:c r="B239" s="17" t="str">
        <x:v>头脑风暴</x:v>
      </x:c>
      <x:c r="C239" s="17" t="str">
        <x:v>项目文件、导出与集成</x:v>
      </x:c>
      <x:c r="D239" s="17" t="str">
        <x:v>在线/嵌入</x:v>
      </x:c>
      <x:c r="E239" s="17" t="str">
        <x:v>最终可嵌入原已开发网站模块</x:v>
      </x:c>
      <x:c r="F239" s="17" t="str">
        <x:v>最终可嵌入原已开发网站模块</x:v>
      </x:c>
      <x:c r="G239" s="17" t="str">
        <x:v>V1.12时本地验证；V2.0已完整嵌入主站。</x:v>
      </x:c>
      <x:c r="H239" s="17" t="str">
        <x:v>✅ 已核验</x:v>
      </x:c>
      <x:c r="I239" s="17" t="str">
        <x:v>已有历史/自动验收证据；V2.0仍待用户逐项人工确认</x:v>
      </x:c>
      <x:c r="J239" s="17" t="str">
        <x:v>C-76</x:v>
      </x:c>
      <x:c r="K239" s="17" t="str">
        <x:v>【历史需求记录；非逐字聊天原文】最终可嵌入原已开发网站模块</x:v>
      </x:c>
      <x:c r="L239" s="17" t="str">
        <x:v>是（V1.13完整迁移）</x:v>
      </x:c>
      <x:c r="M239" s="17" t="str">
        <x:v>PASS</x:v>
      </x:c>
    </x:row>
    <x:row r="240" ht="62" customHeight="1">
      <x:c r="A240" s="17" t="str">
        <x:v>CV-080</x:v>
      </x:c>
      <x:c r="B240" s="17" t="str">
        <x:v>头脑风暴</x:v>
      </x:c>
      <x:c r="C240" s="17" t="str">
        <x:v>项目文件、导出与集成</x:v>
      </x:c>
      <x:c r="D240" s="17" t="str">
        <x:v>导出</x:v>
      </x:c>
      <x:c r="E240" s="17" t="str">
        <x:v>SVG/PNG/PDF/Word/Excel</x:v>
      </x:c>
      <x:c r="F240" s="17" t="str">
        <x:v>SVG/PNG/PDF/Word/Excel</x:v>
      </x:c>
      <x:c r="G240" s="17" t="str">
        <x:v>Excel/SVG/PNG/Word下载；PDF使用浏览器打印导出。</x:v>
      </x:c>
      <x:c r="H240" s="17" t="str">
        <x:v>✅ 已核验</x:v>
      </x:c>
      <x:c r="I240" s="17" t="str">
        <x:v>已有历史/自动验收证据；V2.0仍待用户逐项人工确认</x:v>
      </x:c>
      <x:c r="J240" s="17" t="str">
        <x:v>C-74</x:v>
      </x:c>
      <x:c r="K240" s="17" t="str">
        <x:v>【历史需求记录；非逐字聊天原文】SVG/PNG/PDF/Word/Excel</x:v>
      </x:c>
      <x:c r="L240" s="17" t="str">
        <x:v>是（V1.13完整迁移）</x:v>
      </x:c>
      <x:c r="M240" s="17" t="str">
        <x:v>PASS</x:v>
      </x:c>
    </x:row>
    <x:row r="241" ht="62" customHeight="1">
      <x:c r="A241" s="17" t="str">
        <x:v>CV-081</x:v>
      </x:c>
      <x:c r="B241" s="17" t="str">
        <x:v>头脑风暴</x:v>
      </x:c>
      <x:c r="C241" s="17" t="str">
        <x:v>项目文件、导出与集成</x:v>
      </x:c>
      <x:c r="D241" s="17" t="str">
        <x:v>旧方向</x:v>
      </x:c>
      <x:c r="E241" s="17" t="str">
        <x:v>Smart下→上布局</x:v>
      </x:c>
      <x:c r="F241" s="17" t="str">
        <x:v>Smart下→上布局</x:v>
      </x:c>
      <x:c r="G241" s="17" t="str">
        <x:v>与最新“Smart只有两种”冲突，删除。</x:v>
      </x:c>
      <x:c r="H241" s="17" t="str">
        <x:v>⚠ 已替代/取消</x:v>
      </x:c>
      <x:c r="I241" s="17" t="str">
        <x:v>与后续明确“Smart只保留左右/上下两种”冲突，历史保留但现行取消</x:v>
      </x:c>
      <x:c r="J241" s="17" t="str">
        <x:v>C-78</x:v>
      </x:c>
      <x:c r="K241" s="17" t="str">
        <x:v>【历史需求记录；非逐字聊天原文】Smart下→上布局</x:v>
      </x:c>
      <x:c r="L241" s="17" t="str">
        <x:v>否（已取消）</x:v>
      </x:c>
      <x:c r="M241" s="17" t="str">
        <x:v>SUPERSEDED</x:v>
      </x:c>
    </x:row>
    <x:row r="242" ht="62" customHeight="1">
      <x:c r="A242" s="17" t="str">
        <x:v>CV-082</x:v>
      </x:c>
      <x:c r="B242" s="17" t="str">
        <x:v>头脑风暴</x:v>
      </x:c>
      <x:c r="C242" s="17" t="str">
        <x:v>项目文件、导出与集成</x:v>
      </x:c>
      <x:c r="D242" s="17" t="str">
        <x:v>旧方向</x:v>
      </x:c>
      <x:c r="E242" s="17" t="str">
        <x:v>Smart右→左布局</x:v>
      </x:c>
      <x:c r="F242" s="17" t="str">
        <x:v>Smart右→左布局</x:v>
      </x:c>
      <x:c r="G242" s="17" t="str">
        <x:v>与最新“Smart只有两种”冲突，删除。</x:v>
      </x:c>
      <x:c r="H242" s="17" t="str">
        <x:v>⚠ 已替代/取消</x:v>
      </x:c>
      <x:c r="I242" s="17" t="str">
        <x:v>与后续明确“Smart只保留左右/上下两种”冲突，历史保留但现行取消</x:v>
      </x:c>
      <x:c r="J242" s="17" t="str">
        <x:v>C-77</x:v>
      </x:c>
      <x:c r="K242" s="17" t="str">
        <x:v>【历史需求记录；非逐字聊天原文】Smart右→左布局</x:v>
      </x:c>
      <x:c r="L242" s="17" t="str">
        <x:v>否（已取消）</x:v>
      </x:c>
      <x:c r="M242" s="17" t="str">
        <x:v>SUPERSEDED</x:v>
      </x:c>
    </x:row>
    <x:row r="243" ht="62" customHeight="1">
      <x:c r="A243" s="17" t="str">
        <x:v>CV-083</x:v>
      </x:c>
      <x:c r="B243" s="17" t="str">
        <x:v>头脑风暴</x:v>
      </x:c>
      <x:c r="C243" s="17" t="str">
        <x:v>项目文件、导出与集成</x:v>
      </x:c>
      <x:c r="D243" s="17" t="str">
        <x:v>项目</x:v>
      </x:c>
      <x:c r="E243" s="17" t="str">
        <x:v>保存/打开项目后继续编辑</x:v>
      </x:c>
      <x:c r="F243" s="17" t="str">
        <x:v>保存/打开项目后继续编辑</x:v>
      </x:c>
      <x:c r="G243" s="17" t="str">
        <x:v>.flow.json保存nodes/edges/settings并可恢复。</x:v>
      </x:c>
      <x:c r="H243" s="17" t="str">
        <x:v>✅ 已核验</x:v>
      </x:c>
      <x:c r="I243" s="17" t="str">
        <x:v>已有历史/自动验收证据；V2.0仍待用户逐项人工确认</x:v>
      </x:c>
      <x:c r="J243" s="17" t="str">
        <x:v>C-68</x:v>
      </x:c>
      <x:c r="K243" s="17" t="str">
        <x:v>【历史需求记录；非逐字聊天原文】保存/打开项目后继续编辑</x:v>
      </x:c>
      <x:c r="L243" s="17" t="str">
        <x:v>是（V1.13完整迁移）</x:v>
      </x:c>
      <x:c r="M243" s="17" t="str">
        <x:v>PASS</x:v>
      </x:c>
    </x:row>
    <x:row r="244" ht="62" customHeight="1">
      <x:c r="A244" s="17" t="str">
        <x:v>CV-084</x:v>
      </x:c>
      <x:c r="B244" s="17" t="str">
        <x:v>头脑风暴</x:v>
      </x:c>
      <x:c r="C244" s="17" t="str">
        <x:v>项目文件、导出与集成</x:v>
      </x:c>
      <x:c r="D244" s="17" t="str">
        <x:v>项目</x:v>
      </x:c>
      <x:c r="E244" s="17" t="str">
        <x:v>流程画布支持自定义名称</x:v>
      </x:c>
      <x:c r="F244" s="17" t="str">
        <x:v>流程画布支持自定义名称</x:v>
      </x:c>
      <x:c r="G244" s="17" t="str">
        <x:v>projectName进入settings和导出文件名。</x:v>
      </x:c>
      <x:c r="H244" s="17" t="str">
        <x:v>✅ 已核验</x:v>
      </x:c>
      <x:c r="I244" s="17" t="str">
        <x:v>已有历史/自动验收证据；V2.0仍待用户逐项人工确认</x:v>
      </x:c>
      <x:c r="J244" s="17" t="str">
        <x:v>C-67</x:v>
      </x:c>
      <x:c r="K244" s="17" t="str">
        <x:v>【历史需求记录；非逐字聊天原文】流程画布支持自定义名称</x:v>
      </x:c>
      <x:c r="L244" s="17" t="str">
        <x:v>是（V1.13完整迁移）</x:v>
      </x:c>
      <x:c r="M244" s="17" t="str">
        <x:v>PASS</x:v>
      </x:c>
    </x:row>
  </x:sheetData>
  <x:mergeCells>
    <x:mergeCell ref="A1:M1"/>
    <x:mergeCell ref="A2:M2"/>
  </x:mergeCells>
  <x:conditionalFormatting sqref="H5:H244">
    <x:cfRule type="containsText" dxfId="25" priority="1" operator="containsText" text="✅"/>
    <x:cfRule type="containsText" dxfId="26" priority="2" operator="containsText" text="⚠"/>
    <x:cfRule type="containsText" dxfId="27" priority="3" operator="containsText" text="◐"/>
    <x:cfRule type="containsText" dxfId="28" priority="4" operator="containsText" text="⏳"/>
    <x:cfRule type="containsText" dxfId="29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29fd7908657e44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72" hidden="0" customWidth="1"/>
    <x:col min="4" max="4" width="66" hidden="0" customWidth="1"/>
    <x:col min="5" max="5" width="30" hidden="0" customWidth="1"/>
  </x:cols>
  <x:sheetData>
    <x:row r="1" ht="34" customHeight="1">
      <x:c r="A1" s="19" t="str">
        <x:v>已完成、归档、完成待优化｜对话与开发需求追溯</x:v>
      </x:c>
      <x:c r="B1" s="19"/>
      <x:c r="C1" s="19"/>
      <x:c r="D1" s="19"/>
      <x:c r="E1" s="19"/>
    </x:row>
    <x:row r="2" ht="31" customHeight="1">
      <x:c r="A2" s="20" t="str">
        <x:v>严格区分可核对用户原话、非逐字历史记录和开发推导；冲突项不写成通过。</x:v>
      </x:c>
      <x:c r="B2" s="20"/>
      <x:c r="C2" s="20"/>
      <x:c r="D2" s="20"/>
      <x:c r="E2" s="20"/>
    </x:row>
    <x:row r="3">
      <x:c r="A3" s="14"/>
      <x:c r="B3" s="14"/>
      <x:c r="C3" s="14"/>
      <x:c r="D3" s="14"/>
      <x:c r="E3" s="14"/>
    </x:row>
    <x:row r="4" ht="30" customHeight="1">
      <x:c r="A4" s="21" t="str">
        <x:v>时间</x:v>
      </x:c>
      <x:c r="B4" s="21" t="str">
        <x:v>证据等级</x:v>
      </x:c>
      <x:c r="C4" s="21" t="str">
        <x:v>用户对话/历史记录</x:v>
      </x:c>
      <x:c r="D4" s="21" t="str">
        <x:v>对应开发要求</x:v>
      </x:c>
      <x:c r="E4" s="21" t="str">
        <x:v>当前判断</x:v>
      </x:c>
    </x:row>
    <x:row r="5" ht="96" customHeight="1">
      <x:c r="A5" s="17" t="str">
        <x:v>2026-08-26</x:v>
      </x:c>
      <x:c r="B5" s="17" t="str">
        <x:v>历史上下文摘要（非完整逐字稿）</x:v>
      </x:c>
      <x:c r="C5" s="17" t="str">
        <x:v>四列按类别分组；点击“未开展→进行中→已完成”；已完成不进入完成待优化；已完成再次点击不反应。</x:v>
      </x:c>
      <x:c r="D5" s="17" t="str">
        <x:v>看板固定四列；推进到已完成后停止；完成待优化不能由继续点击已完成自动产生。</x:v>
      </x:c>
      <x:c r="E5" s="17" t="str">
        <x:v>⚠ 与后续非逐字摘要冲突，待确认</x:v>
      </x:c>
    </x:row>
    <x:row r="6" ht="96" customHeight="1">
      <x:c r="A6" s="17" t="str">
        <x:v>2026-08-31</x:v>
      </x:c>
      <x:c r="B6" s="17" t="str">
        <x:v>历史需求记录；非逐字聊天原文</x:v>
      </x:c>
      <x:c r="C6" s="17" t="str">
        <x:v>未开展→进行中→已完成→完成待优化。</x:v>
      </x:c>
      <x:c r="D6" s="17" t="str">
        <x:v>曾被开发为循环推进状态机。</x:v>
      </x:c>
      <x:c r="E6" s="17" t="str">
        <x:v>⚠ 不能据此覆盖用户可核对原话</x:v>
      </x:c>
    </x:row>
    <x:row r="7" ht="96" customHeight="1">
      <x:c r="A7" s="17" t="str">
        <x:v>2026-09-01</x:v>
      </x:c>
      <x:c r="B7" s="17" t="str">
        <x:v>可核对聊天原文</x:v>
      </x:c>
      <x:c r="C7" s="17" t="str">
        <x:v>我的一天、计划内、全部任务、日程、任务状态。一个任务始终就是一条，不管什么状态，必须会在以上5个模块中显示。</x:v>
      </x:c>
      <x:c r="D7" s="17" t="str">
        <x:v>每个任务只有一个真实ID；五个页面只投影同一条任务数据。</x:v>
      </x:c>
      <x:c r="E7" s="17" t="str">
        <x:v>✅ 现行控制要求</x:v>
      </x:c>
    </x:row>
    <x:row r="8" ht="96" customHeight="1">
      <x:c r="A8" s="17" t="str">
        <x:v>2026-09-01</x:v>
      </x:c>
      <x:c r="B8" s="17" t="str">
        <x:v>可核对聊天原文</x:v>
      </x:c>
      <x:c r="C8" s="17" t="str">
        <x:v>归档和完成待优化等只在任务状态体现；全部任务不增加归档、之后、历史日期、未安排这些。</x:v>
      </x:c>
      <x:c r="D8" s="17" t="str">
        <x:v>普通视图不显示归档，不增加人为历史/未安排分区；归档只在任务状态简要体现。</x:v>
      </x:c>
      <x:c r="E8" s="17" t="str">
        <x:v>✅ 现行控制要求</x:v>
      </x:c>
    </x:row>
    <x:row r="9" ht="96" customHeight="1">
      <x:c r="A9" s="17" t="str">
        <x:v>2026-09-01</x:v>
      </x:c>
      <x:c r="B9" s="17" t="str">
        <x:v>可核对聊天原文</x:v>
      </x:c>
      <x:c r="C9" s="17" t="str">
        <x:v>总共有100个任务时，要明确我的一天、计划内、全部任务、日程、任务状态五项明细和总数分别是多少。</x:v>
      </x:c>
      <x:c r="D9" s="17" t="str">
        <x:v>所有数量从唯一任务集合计算；筛选范围可解释，不能重复计数。</x:v>
      </x:c>
      <x:c r="E9" s="17" t="str">
        <x:v>✅ 现行控制要求</x:v>
      </x:c>
    </x:row>
    <x:row r="10" ht="96" customHeight="1">
      <x:c r="A10" s="17" t="str">
        <x:v>2026-09-01</x:v>
      </x:c>
      <x:c r="B10" s="17" t="str">
        <x:v>可核对聊天原文</x:v>
      </x:c>
      <x:c r="C10" s="17" t="str">
        <x:v>进度管理中不显示归档、之后历史未安排；归档都属于已完成；归档仅在任务状态栏简要展示；完成任务数量务必对应。</x:v>
      </x:c>
      <x:c r="D10" s="17" t="str">
        <x:v>归档是已完成历史子集；已完成总数＝当前已完成＋已归档；普通视图隐藏归档。</x:v>
      </x:c>
      <x:c r="E10" s="17" t="str">
        <x:v>✅ 现行控制要求</x:v>
      </x:c>
    </x:row>
    <x:row r="11" ht="96" customHeight="1">
      <x:c r="A11" s="17" t="str">
        <x:v>2026-09-02</x:v>
      </x:c>
      <x:c r="B11" s="17" t="str">
        <x:v>当前批注原文</x:v>
      </x:c>
      <x:c r="C11" s="17" t="str">
        <x:v>任务状态还是四状态，不要改。</x:v>
      </x:c>
      <x:c r="D11" s="17" t="str">
        <x:v>可见列固定为未开展、进行中、已完成、完成待优化；不得增加独立归档列。</x:v>
      </x:c>
      <x:c r="E11" s="17" t="str">
        <x:v>✅ 最新控制要求</x:v>
      </x:c>
    </x:row>
    <x:row r="12" ht="96" customHeight="1">
      <x:c r="A12" s="17" t="str">
        <x:v>2026-09-02</x:v>
      </x:c>
      <x:c r="B12" s="17" t="str">
        <x:v>当前反馈原文</x:v>
      </x:c>
      <x:c r="C12" s="17" t="str">
        <x:v>重新梳理关于完成归档、待优化最新的需求，又出错了。你应该理解错了、输出我的对话以及对应的开发需求。</x:v>
      </x:c>
      <x:c r="D12" s="17" t="str">
        <x:v>先输出对话—需求映射；有冲突先标识，不自行猜测。</x:v>
      </x:c>
      <x:c r="E12" s="17" t="str">
        <x:v>✅ 本表已执行</x:v>
      </x:c>
    </x:row>
  </x:sheetData>
  <x:mergeCells>
    <x:mergeCell ref="A1:E1"/>
    <x:mergeCell ref="A2:E2"/>
  </x:mergeCells>
  <x:conditionalFormatting sqref="E5:E12">
    <x:cfRule type="containsText" dxfId="30" priority="1" operator="containsText" text="✅"/>
    <x:cfRule type="containsText" dxfId="31" priority="2" operator="containsText" text="⚠"/>
    <x:cfRule type="containsText" dxfId="32" priority="3" operator="containsText" text="◐"/>
    <x:cfRule type="containsText" dxfId="33" priority="4" operator="containsText" text="⏳"/>
    <x:cfRule type="containsText" dxfId="34" priority="5" operator="containsText" text="⏸"/>
  </x:conditionalFormatting>
  <x:pageMargins left="0.7" right="0.7" top="0.75" bottom="0.75" header="0.3" footer="0.3"/>
  <x:tableParts count="1">
    <x:tablePart xmlns:r="http://schemas.openxmlformats.org/officeDocument/2006/relationships" r:id="Rd7df8b5befbe4a38"/>
  </x:tableParts>
</x:worksheet>
</file>